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a72b32728c26ffc1/MX EDUCAÇÃO/Curso para Gerentes de Vendas/CURSO GERENTE DE VENDAS/MODULO 3/"/>
    </mc:Choice>
  </mc:AlternateContent>
  <xr:revisionPtr revIDLastSave="4" documentId="13_ncr:1_{CB9FC201-379E-4388-810E-DDCFBA01CB39}" xr6:coauthVersionLast="47" xr6:coauthVersionMax="47" xr10:uidLastSave="{060B5BDA-6C00-46DF-BFCD-4C2EBBC528BD}"/>
  <bookViews>
    <workbookView xWindow="-110" yWindow="-110" windowWidth="25820" windowHeight="15500" tabRatio="751" firstSheet="1" activeTab="2" xr2:uid="{1484EA73-FC9E-44EC-8411-58C8CB48EED7}"/>
  </bookViews>
  <sheets>
    <sheet name="IMPRIMIR" sheetId="6" state="hidden" r:id="rId1"/>
    <sheet name="RESUMO" sheetId="5" r:id="rId2"/>
    <sheet name="VENDEDOR1" sheetId="2" r:id="rId3"/>
    <sheet name="VENDEDOR2" sheetId="16" r:id="rId4"/>
    <sheet name="VENDEDOR3" sheetId="17" r:id="rId5"/>
    <sheet name="VENDEDOR4" sheetId="18" r:id="rId6"/>
    <sheet name="VENDEDOR5" sheetId="19" r:id="rId7"/>
    <sheet name="VENDEDOR6" sheetId="20" r:id="rId8"/>
    <sheet name="GESTÃO A VISTA" sheetId="15" r:id="rId9"/>
  </sheets>
  <definedNames>
    <definedName name="_xlnm._FilterDatabase" localSheetId="0" hidden="1">IMPRIMIR!$G$5:$N$5</definedName>
    <definedName name="_xlnm._FilterDatabase" localSheetId="2" hidden="1">VENDEDOR1!$G$5:$N$5</definedName>
    <definedName name="_xlnm._FilterDatabase" localSheetId="3" hidden="1">VENDEDOR2!$G$5:$N$5</definedName>
    <definedName name="_xlnm._FilterDatabase" localSheetId="4" hidden="1">VENDEDOR3!$G$5:$N$5</definedName>
    <definedName name="_xlnm._FilterDatabase" localSheetId="5" hidden="1">VENDEDOR4!$G$5:$N$5</definedName>
    <definedName name="_xlnm._FilterDatabase" localSheetId="6" hidden="1">VENDEDOR5!$G$5:$N$5</definedName>
    <definedName name="_xlnm._FilterDatabase" localSheetId="7" hidden="1">VENDEDOR6!$G$5:$N$5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5" i="5" l="1"/>
  <c r="A34" i="5"/>
  <c r="A4" i="5"/>
  <c r="D20" i="5"/>
  <c r="A9" i="5"/>
  <c r="A8" i="5"/>
  <c r="A7" i="5"/>
  <c r="A6" i="5"/>
  <c r="A5" i="5"/>
  <c r="M43" i="20"/>
  <c r="L43" i="20"/>
  <c r="K43" i="20"/>
  <c r="J43" i="20"/>
  <c r="I43" i="20"/>
  <c r="H43" i="20"/>
  <c r="G43" i="20"/>
  <c r="F43" i="20"/>
  <c r="C20" i="5" s="1"/>
  <c r="E43" i="20"/>
  <c r="M41" i="20"/>
  <c r="L41" i="20"/>
  <c r="K41" i="20"/>
  <c r="J41" i="20"/>
  <c r="I41" i="20"/>
  <c r="H41" i="20"/>
  <c r="G41" i="20"/>
  <c r="F41" i="20"/>
  <c r="E41" i="20"/>
  <c r="M39" i="20"/>
  <c r="L39" i="20"/>
  <c r="K39" i="20"/>
  <c r="J39" i="20"/>
  <c r="I39" i="20"/>
  <c r="H39" i="20"/>
  <c r="G39" i="20"/>
  <c r="F39" i="20"/>
  <c r="E39" i="20"/>
  <c r="N37" i="20"/>
  <c r="N36" i="20"/>
  <c r="N35" i="20"/>
  <c r="N34" i="20"/>
  <c r="N33" i="20"/>
  <c r="N32" i="20"/>
  <c r="N31" i="20"/>
  <c r="N30" i="20"/>
  <c r="N29" i="20"/>
  <c r="N28" i="20"/>
  <c r="N27" i="20"/>
  <c r="N26" i="20"/>
  <c r="N25" i="20"/>
  <c r="N24" i="20"/>
  <c r="N23" i="20"/>
  <c r="N22" i="20"/>
  <c r="N21" i="20"/>
  <c r="N20" i="20"/>
  <c r="N19" i="20"/>
  <c r="N18" i="20"/>
  <c r="N17" i="20"/>
  <c r="N16" i="20"/>
  <c r="N15" i="20"/>
  <c r="N14" i="20"/>
  <c r="N13" i="20"/>
  <c r="N12" i="20"/>
  <c r="N11" i="20"/>
  <c r="N10" i="20"/>
  <c r="N9" i="20"/>
  <c r="N8" i="20"/>
  <c r="N7" i="20"/>
  <c r="M43" i="19"/>
  <c r="L43" i="19"/>
  <c r="K43" i="19"/>
  <c r="J43" i="19"/>
  <c r="I43" i="19"/>
  <c r="H43" i="19"/>
  <c r="G43" i="19"/>
  <c r="F43" i="19"/>
  <c r="E43" i="19"/>
  <c r="M41" i="19"/>
  <c r="L41" i="19"/>
  <c r="K41" i="19"/>
  <c r="J41" i="19"/>
  <c r="I41" i="19"/>
  <c r="H41" i="19"/>
  <c r="G41" i="19"/>
  <c r="F41" i="19"/>
  <c r="E41" i="19"/>
  <c r="M39" i="19"/>
  <c r="J19" i="5" s="1"/>
  <c r="L39" i="19"/>
  <c r="K39" i="19"/>
  <c r="J39" i="19"/>
  <c r="I39" i="19"/>
  <c r="H39" i="19"/>
  <c r="G39" i="19"/>
  <c r="F39" i="19"/>
  <c r="E39" i="19"/>
  <c r="N37" i="19"/>
  <c r="N36" i="19"/>
  <c r="N35" i="19"/>
  <c r="N34" i="19"/>
  <c r="N33" i="19"/>
  <c r="N32" i="19"/>
  <c r="N31" i="19"/>
  <c r="N30" i="19"/>
  <c r="N29" i="19"/>
  <c r="N28" i="19"/>
  <c r="N27" i="19"/>
  <c r="N26" i="19"/>
  <c r="N25" i="19"/>
  <c r="N24" i="19"/>
  <c r="N23" i="19"/>
  <c r="N22" i="19"/>
  <c r="N21" i="19"/>
  <c r="N20" i="19"/>
  <c r="N19" i="19"/>
  <c r="N18" i="19"/>
  <c r="N17" i="19"/>
  <c r="N16" i="19"/>
  <c r="N15" i="19"/>
  <c r="N14" i="19"/>
  <c r="N13" i="19"/>
  <c r="N12" i="19"/>
  <c r="N11" i="19"/>
  <c r="N10" i="19"/>
  <c r="N9" i="19"/>
  <c r="N8" i="19"/>
  <c r="N7" i="19"/>
  <c r="M43" i="18"/>
  <c r="L43" i="18"/>
  <c r="K43" i="18"/>
  <c r="J43" i="18"/>
  <c r="I43" i="18"/>
  <c r="H43" i="18"/>
  <c r="G43" i="18"/>
  <c r="F43" i="18"/>
  <c r="E43" i="18"/>
  <c r="M41" i="18"/>
  <c r="L41" i="18"/>
  <c r="K41" i="18"/>
  <c r="J41" i="18"/>
  <c r="I41" i="18"/>
  <c r="H41" i="18"/>
  <c r="G41" i="18"/>
  <c r="F41" i="18"/>
  <c r="E41" i="18"/>
  <c r="M39" i="18"/>
  <c r="L39" i="18"/>
  <c r="K39" i="18"/>
  <c r="J39" i="18"/>
  <c r="I39" i="18"/>
  <c r="H39" i="18"/>
  <c r="G39" i="18"/>
  <c r="D18" i="5" s="1"/>
  <c r="F39" i="18"/>
  <c r="C18" i="5" s="1"/>
  <c r="E39" i="18"/>
  <c r="B18" i="5" s="1"/>
  <c r="N37" i="18"/>
  <c r="N36" i="18"/>
  <c r="N35" i="18"/>
  <c r="N34" i="18"/>
  <c r="N33" i="18"/>
  <c r="N32" i="18"/>
  <c r="N31" i="18"/>
  <c r="N30" i="18"/>
  <c r="N29" i="18"/>
  <c r="N28" i="18"/>
  <c r="N27" i="18"/>
  <c r="N26" i="18"/>
  <c r="N25" i="18"/>
  <c r="N24" i="18"/>
  <c r="N23" i="18"/>
  <c r="N22" i="18"/>
  <c r="N21" i="18"/>
  <c r="N20" i="18"/>
  <c r="N19" i="18"/>
  <c r="N18" i="18"/>
  <c r="N17" i="18"/>
  <c r="N16" i="18"/>
  <c r="N15" i="18"/>
  <c r="N14" i="18"/>
  <c r="N13" i="18"/>
  <c r="N12" i="18"/>
  <c r="N11" i="18"/>
  <c r="N10" i="18"/>
  <c r="N9" i="18"/>
  <c r="N8" i="18"/>
  <c r="N7" i="18"/>
  <c r="M43" i="17"/>
  <c r="L43" i="17"/>
  <c r="K43" i="17"/>
  <c r="J43" i="17"/>
  <c r="I43" i="17"/>
  <c r="H43" i="17"/>
  <c r="G43" i="17"/>
  <c r="F43" i="17"/>
  <c r="E43" i="17"/>
  <c r="M41" i="17"/>
  <c r="L41" i="17"/>
  <c r="K41" i="17"/>
  <c r="J41" i="17"/>
  <c r="I41" i="17"/>
  <c r="H41" i="17"/>
  <c r="G41" i="17"/>
  <c r="F41" i="17"/>
  <c r="E41" i="17"/>
  <c r="M39" i="17"/>
  <c r="L39" i="17"/>
  <c r="K39" i="17"/>
  <c r="J39" i="17"/>
  <c r="I39" i="17"/>
  <c r="H39" i="17"/>
  <c r="G39" i="17"/>
  <c r="F39" i="17"/>
  <c r="E39" i="17"/>
  <c r="N37" i="17"/>
  <c r="N36" i="17"/>
  <c r="N35" i="17"/>
  <c r="N34" i="17"/>
  <c r="N33" i="17"/>
  <c r="N32" i="17"/>
  <c r="N31" i="17"/>
  <c r="N30" i="17"/>
  <c r="N29" i="17"/>
  <c r="N28" i="17"/>
  <c r="N27" i="17"/>
  <c r="N26" i="17"/>
  <c r="N25" i="17"/>
  <c r="N24" i="17"/>
  <c r="N23" i="17"/>
  <c r="N22" i="17"/>
  <c r="N21" i="17"/>
  <c r="N20" i="17"/>
  <c r="N19" i="17"/>
  <c r="N18" i="17"/>
  <c r="N17" i="17"/>
  <c r="N16" i="17"/>
  <c r="N15" i="17"/>
  <c r="N14" i="17"/>
  <c r="N13" i="17"/>
  <c r="N12" i="17"/>
  <c r="N11" i="17"/>
  <c r="N10" i="17"/>
  <c r="N9" i="17"/>
  <c r="N8" i="17"/>
  <c r="N7" i="17"/>
  <c r="M43" i="16"/>
  <c r="L43" i="16"/>
  <c r="K43" i="16"/>
  <c r="J43" i="16"/>
  <c r="I43" i="16"/>
  <c r="H43" i="16"/>
  <c r="G43" i="16"/>
  <c r="F43" i="16"/>
  <c r="E43" i="16"/>
  <c r="M41" i="16"/>
  <c r="L41" i="16"/>
  <c r="K41" i="16"/>
  <c r="J41" i="16"/>
  <c r="I41" i="16"/>
  <c r="H41" i="16"/>
  <c r="G41" i="16"/>
  <c r="F41" i="16"/>
  <c r="E41" i="16"/>
  <c r="M39" i="16"/>
  <c r="L39" i="16"/>
  <c r="I16" i="5" s="1"/>
  <c r="K39" i="16"/>
  <c r="J39" i="16"/>
  <c r="I39" i="16"/>
  <c r="F16" i="5" s="1"/>
  <c r="H39" i="16"/>
  <c r="E16" i="5" s="1"/>
  <c r="G39" i="16"/>
  <c r="D16" i="5" s="1"/>
  <c r="F39" i="16"/>
  <c r="E39" i="16"/>
  <c r="N37" i="16"/>
  <c r="N36" i="16"/>
  <c r="N35" i="16"/>
  <c r="N34" i="16"/>
  <c r="N33" i="16"/>
  <c r="N32" i="16"/>
  <c r="N31" i="16"/>
  <c r="N30" i="16"/>
  <c r="N29" i="16"/>
  <c r="N28" i="16"/>
  <c r="N27" i="16"/>
  <c r="N26" i="16"/>
  <c r="N25" i="16"/>
  <c r="N24" i="16"/>
  <c r="N23" i="16"/>
  <c r="N22" i="16"/>
  <c r="N21" i="16"/>
  <c r="N20" i="16"/>
  <c r="N19" i="16"/>
  <c r="N18" i="16"/>
  <c r="N17" i="16"/>
  <c r="N16" i="16"/>
  <c r="N15" i="16"/>
  <c r="N14" i="16"/>
  <c r="N13" i="16"/>
  <c r="N12" i="16"/>
  <c r="N11" i="16"/>
  <c r="N10" i="16"/>
  <c r="N9" i="16"/>
  <c r="N8" i="16"/>
  <c r="N7" i="16"/>
  <c r="N9" i="2"/>
  <c r="N8" i="2"/>
  <c r="N7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G18" i="5" l="1"/>
  <c r="H18" i="5"/>
  <c r="B20" i="5"/>
  <c r="I18" i="5"/>
  <c r="B17" i="5"/>
  <c r="J18" i="5"/>
  <c r="C17" i="5"/>
  <c r="D17" i="5"/>
  <c r="F20" i="5"/>
  <c r="F17" i="5"/>
  <c r="G17" i="5"/>
  <c r="I20" i="5"/>
  <c r="H17" i="5"/>
  <c r="I17" i="5"/>
  <c r="J17" i="5"/>
  <c r="E18" i="5"/>
  <c r="F18" i="5"/>
  <c r="K45" i="19"/>
  <c r="H8" i="5" s="1"/>
  <c r="B36" i="5"/>
  <c r="B40" i="5" s="1"/>
  <c r="L45" i="19"/>
  <c r="I8" i="5" s="1"/>
  <c r="N41" i="16"/>
  <c r="J45" i="20"/>
  <c r="G9" i="5" s="1"/>
  <c r="K45" i="20"/>
  <c r="H9" i="5" s="1"/>
  <c r="J45" i="16"/>
  <c r="G5" i="5" s="1"/>
  <c r="K45" i="16"/>
  <c r="H5" i="5" s="1"/>
  <c r="N39" i="16"/>
  <c r="K16" i="5" s="1"/>
  <c r="N41" i="20"/>
  <c r="E45" i="19"/>
  <c r="B8" i="5" s="1"/>
  <c r="M45" i="20"/>
  <c r="J9" i="5" s="1"/>
  <c r="G20" i="5"/>
  <c r="E45" i="16"/>
  <c r="B5" i="5" s="1"/>
  <c r="L45" i="17"/>
  <c r="I6" i="5" s="1"/>
  <c r="N41" i="19"/>
  <c r="F45" i="19"/>
  <c r="C8" i="5" s="1"/>
  <c r="H20" i="5"/>
  <c r="F45" i="16"/>
  <c r="C5" i="5" s="1"/>
  <c r="G45" i="19"/>
  <c r="D8" i="5" s="1"/>
  <c r="H45" i="19"/>
  <c r="E8" i="5" s="1"/>
  <c r="B16" i="5"/>
  <c r="J20" i="5"/>
  <c r="N39" i="18"/>
  <c r="N43" i="18"/>
  <c r="I45" i="19"/>
  <c r="F8" i="5" s="1"/>
  <c r="C16" i="5"/>
  <c r="I45" i="16"/>
  <c r="F5" i="5" s="1"/>
  <c r="J45" i="19"/>
  <c r="G8" i="5" s="1"/>
  <c r="N43" i="16"/>
  <c r="N41" i="17"/>
  <c r="G16" i="5"/>
  <c r="M45" i="16"/>
  <c r="J5" i="5" s="1"/>
  <c r="H16" i="5"/>
  <c r="G45" i="18"/>
  <c r="D7" i="5" s="1"/>
  <c r="N39" i="20"/>
  <c r="N43" i="20"/>
  <c r="B19" i="5"/>
  <c r="J16" i="5"/>
  <c r="C19" i="5"/>
  <c r="N39" i="17"/>
  <c r="N43" i="17"/>
  <c r="N41" i="18"/>
  <c r="I45" i="18"/>
  <c r="F7" i="5" s="1"/>
  <c r="D19" i="5"/>
  <c r="F19" i="5"/>
  <c r="K45" i="18"/>
  <c r="H7" i="5" s="1"/>
  <c r="G19" i="5"/>
  <c r="L45" i="18"/>
  <c r="I7" i="5" s="1"/>
  <c r="F45" i="20"/>
  <c r="C9" i="5" s="1"/>
  <c r="H19" i="5"/>
  <c r="E45" i="17"/>
  <c r="B6" i="5" s="1"/>
  <c r="M45" i="18"/>
  <c r="J7" i="5" s="1"/>
  <c r="G45" i="20"/>
  <c r="D9" i="5" s="1"/>
  <c r="I19" i="5"/>
  <c r="N39" i="19"/>
  <c r="N43" i="19"/>
  <c r="G45" i="16"/>
  <c r="D5" i="5" s="1"/>
  <c r="L45" i="16"/>
  <c r="I5" i="5" s="1"/>
  <c r="F45" i="17"/>
  <c r="C6" i="5" s="1"/>
  <c r="G45" i="17"/>
  <c r="D6" i="5" s="1"/>
  <c r="I45" i="17"/>
  <c r="F6" i="5" s="1"/>
  <c r="J45" i="17"/>
  <c r="G6" i="5" s="1"/>
  <c r="K45" i="17"/>
  <c r="H6" i="5" s="1"/>
  <c r="M45" i="17"/>
  <c r="J6" i="5" s="1"/>
  <c r="E45" i="18"/>
  <c r="B7" i="5" s="1"/>
  <c r="F45" i="18"/>
  <c r="C7" i="5" s="1"/>
  <c r="J45" i="18"/>
  <c r="G7" i="5" s="1"/>
  <c r="M45" i="19"/>
  <c r="J8" i="5" s="1"/>
  <c r="I45" i="20"/>
  <c r="F9" i="5" s="1"/>
  <c r="L45" i="20"/>
  <c r="I9" i="5" s="1"/>
  <c r="E45" i="20"/>
  <c r="B9" i="5" s="1"/>
  <c r="H45" i="20"/>
  <c r="E9" i="5" s="1"/>
  <c r="E19" i="5"/>
  <c r="H45" i="18"/>
  <c r="E7" i="5" s="1"/>
  <c r="H45" i="17"/>
  <c r="E6" i="5" s="1"/>
  <c r="E17" i="5"/>
  <c r="H45" i="16"/>
  <c r="E5" i="5" s="1"/>
  <c r="E20" i="5"/>
  <c r="H31" i="5"/>
  <c r="B29" i="5"/>
  <c r="F31" i="5"/>
  <c r="G31" i="5"/>
  <c r="K27" i="5"/>
  <c r="D31" i="5"/>
  <c r="J27" i="5"/>
  <c r="C31" i="5"/>
  <c r="I27" i="5"/>
  <c r="B31" i="5"/>
  <c r="H27" i="5"/>
  <c r="G27" i="5"/>
  <c r="F27" i="5"/>
  <c r="E27" i="5"/>
  <c r="D27" i="5"/>
  <c r="K32" i="5"/>
  <c r="J32" i="5"/>
  <c r="K28" i="5"/>
  <c r="F32" i="5"/>
  <c r="B30" i="5"/>
  <c r="G28" i="5"/>
  <c r="E32" i="5"/>
  <c r="K29" i="5"/>
  <c r="F28" i="5"/>
  <c r="D32" i="5"/>
  <c r="J29" i="5"/>
  <c r="E28" i="5"/>
  <c r="C32" i="5"/>
  <c r="I29" i="5"/>
  <c r="D28" i="5"/>
  <c r="B32" i="5"/>
  <c r="H29" i="5"/>
  <c r="C28" i="5"/>
  <c r="K31" i="5"/>
  <c r="G29" i="5"/>
  <c r="B28" i="5"/>
  <c r="J31" i="5"/>
  <c r="F29" i="5"/>
  <c r="I31" i="5"/>
  <c r="E29" i="5"/>
  <c r="K30" i="5"/>
  <c r="J30" i="5"/>
  <c r="I30" i="5"/>
  <c r="H30" i="5"/>
  <c r="G30" i="5"/>
  <c r="C27" i="5"/>
  <c r="F30" i="5"/>
  <c r="B27" i="5"/>
  <c r="I32" i="5"/>
  <c r="E30" i="5"/>
  <c r="J28" i="5"/>
  <c r="H32" i="5"/>
  <c r="D30" i="5"/>
  <c r="I28" i="5"/>
  <c r="G32" i="5"/>
  <c r="C30" i="5"/>
  <c r="H28" i="5"/>
  <c r="C29" i="5"/>
  <c r="E31" i="5"/>
  <c r="D29" i="5"/>
  <c r="B28" i="15"/>
  <c r="B27" i="15"/>
  <c r="B26" i="15"/>
  <c r="B25" i="15"/>
  <c r="B24" i="15"/>
  <c r="B23" i="15"/>
  <c r="B19" i="15"/>
  <c r="B3" i="15"/>
  <c r="A20" i="5"/>
  <c r="A32" i="5" s="1"/>
  <c r="A44" i="5" s="1"/>
  <c r="M43" i="2"/>
  <c r="L43" i="2"/>
  <c r="K43" i="2"/>
  <c r="J43" i="2"/>
  <c r="M41" i="2"/>
  <c r="L41" i="2"/>
  <c r="K41" i="2"/>
  <c r="J41" i="2"/>
  <c r="M39" i="2"/>
  <c r="L39" i="2"/>
  <c r="K39" i="2"/>
  <c r="H15" i="5" s="1"/>
  <c r="J39" i="2"/>
  <c r="A19" i="5"/>
  <c r="A31" i="5" s="1"/>
  <c r="A43" i="5" s="1"/>
  <c r="A18" i="5"/>
  <c r="A30" i="5" s="1"/>
  <c r="A42" i="5" s="1"/>
  <c r="A17" i="5"/>
  <c r="A29" i="5" s="1"/>
  <c r="A41" i="5" s="1"/>
  <c r="A16" i="5"/>
  <c r="A28" i="5" s="1"/>
  <c r="A40" i="5" s="1"/>
  <c r="A15" i="5"/>
  <c r="A27" i="5" s="1"/>
  <c r="A39" i="5" s="1"/>
  <c r="I43" i="2"/>
  <c r="H43" i="2"/>
  <c r="G43" i="2"/>
  <c r="F43" i="2"/>
  <c r="E43" i="2"/>
  <c r="I41" i="2"/>
  <c r="H41" i="2"/>
  <c r="G41" i="2"/>
  <c r="F41" i="2"/>
  <c r="E41" i="2"/>
  <c r="I39" i="2"/>
  <c r="F15" i="5" s="1"/>
  <c r="H39" i="2"/>
  <c r="E15" i="5" s="1"/>
  <c r="G39" i="2"/>
  <c r="D15" i="5" s="1"/>
  <c r="F39" i="2"/>
  <c r="C15" i="5" s="1"/>
  <c r="E39" i="2"/>
  <c r="B15" i="5" s="1"/>
  <c r="N45" i="6"/>
  <c r="M45" i="6"/>
  <c r="L45" i="6"/>
  <c r="K45" i="6"/>
  <c r="J45" i="6"/>
  <c r="I45" i="6"/>
  <c r="H45" i="6"/>
  <c r="G45" i="6"/>
  <c r="F45" i="6"/>
  <c r="E45" i="6"/>
  <c r="K18" i="5" l="1"/>
  <c r="N45" i="18"/>
  <c r="K7" i="5" s="1"/>
  <c r="K17" i="5"/>
  <c r="K20" i="5"/>
  <c r="K19" i="5"/>
  <c r="G15" i="5"/>
  <c r="J44" i="5"/>
  <c r="C43" i="5"/>
  <c r="F42" i="5"/>
  <c r="F40" i="5"/>
  <c r="B43" i="5"/>
  <c r="C42" i="5"/>
  <c r="J40" i="5"/>
  <c r="E43" i="5"/>
  <c r="G43" i="5"/>
  <c r="H43" i="5"/>
  <c r="I43" i="5"/>
  <c r="F41" i="5"/>
  <c r="G39" i="5"/>
  <c r="B42" i="5"/>
  <c r="F44" i="5"/>
  <c r="H39" i="5"/>
  <c r="I39" i="5"/>
  <c r="D42" i="5"/>
  <c r="H44" i="5"/>
  <c r="D40" i="5"/>
  <c r="G44" i="5"/>
  <c r="I42" i="5"/>
  <c r="C40" i="5"/>
  <c r="D43" i="5"/>
  <c r="H42" i="5"/>
  <c r="C41" i="5"/>
  <c r="E40" i="5"/>
  <c r="E41" i="5"/>
  <c r="J43" i="5"/>
  <c r="B39" i="5"/>
  <c r="G42" i="5"/>
  <c r="C39" i="5"/>
  <c r="G41" i="5"/>
  <c r="J42" i="5"/>
  <c r="B44" i="5"/>
  <c r="D39" i="5"/>
  <c r="G40" i="5"/>
  <c r="H41" i="5"/>
  <c r="I41" i="5"/>
  <c r="H40" i="5"/>
  <c r="C44" i="5"/>
  <c r="F39" i="5"/>
  <c r="I40" i="5"/>
  <c r="E39" i="5"/>
  <c r="J39" i="5"/>
  <c r="B41" i="5"/>
  <c r="D44" i="5"/>
  <c r="E42" i="5"/>
  <c r="F43" i="5"/>
  <c r="J41" i="5"/>
  <c r="I44" i="5"/>
  <c r="D41" i="5"/>
  <c r="E44" i="5"/>
  <c r="N45" i="16"/>
  <c r="K5" i="5" s="1"/>
  <c r="B21" i="5"/>
  <c r="N45" i="19"/>
  <c r="K8" i="5" s="1"/>
  <c r="N45" i="20"/>
  <c r="K9" i="5" s="1"/>
  <c r="N45" i="17"/>
  <c r="K6" i="5" s="1"/>
  <c r="L45" i="2"/>
  <c r="I4" i="5" s="1"/>
  <c r="I10" i="5" s="1"/>
  <c r="I15" i="5"/>
  <c r="M45" i="2"/>
  <c r="J4" i="5" s="1"/>
  <c r="J10" i="5" s="1"/>
  <c r="J15" i="5"/>
  <c r="B33" i="5"/>
  <c r="A16" i="15"/>
  <c r="A18" i="15"/>
  <c r="B1" i="15"/>
  <c r="E7" i="15" s="1"/>
  <c r="B29" i="15"/>
  <c r="N41" i="2"/>
  <c r="N43" i="2"/>
  <c r="G21" i="5"/>
  <c r="A17" i="15"/>
  <c r="A15" i="15"/>
  <c r="A14" i="15"/>
  <c r="A13" i="15"/>
  <c r="E45" i="2"/>
  <c r="B4" i="5" s="1"/>
  <c r="B10" i="5" s="1"/>
  <c r="H45" i="2"/>
  <c r="K45" i="2"/>
  <c r="H4" i="5" s="1"/>
  <c r="H10" i="5" s="1"/>
  <c r="J45" i="2"/>
  <c r="G4" i="5" s="1"/>
  <c r="D21" i="5"/>
  <c r="G45" i="2"/>
  <c r="D4" i="5" s="1"/>
  <c r="D10" i="5" s="1"/>
  <c r="I45" i="2"/>
  <c r="F4" i="5" s="1"/>
  <c r="F10" i="5" s="1"/>
  <c r="N39" i="2"/>
  <c r="K15" i="5" s="1"/>
  <c r="F45" i="2"/>
  <c r="C4" i="5" s="1"/>
  <c r="C10" i="5" s="1"/>
  <c r="E13" i="15" l="1"/>
  <c r="J45" i="5"/>
  <c r="K42" i="5"/>
  <c r="G45" i="5"/>
  <c r="K43" i="5"/>
  <c r="E45" i="5"/>
  <c r="I45" i="5"/>
  <c r="F45" i="5"/>
  <c r="C45" i="5"/>
  <c r="H45" i="5"/>
  <c r="K41" i="5"/>
  <c r="D45" i="5"/>
  <c r="B45" i="5"/>
  <c r="K44" i="5"/>
  <c r="K40" i="5"/>
  <c r="K39" i="5"/>
  <c r="E15" i="15"/>
  <c r="E14" i="15"/>
  <c r="E4" i="5"/>
  <c r="E10" i="5" s="1"/>
  <c r="G10" i="5"/>
  <c r="A28" i="15"/>
  <c r="D28" i="15" s="1"/>
  <c r="E18" i="15"/>
  <c r="A27" i="15"/>
  <c r="D27" i="15" s="1"/>
  <c r="E17" i="15"/>
  <c r="A26" i="15"/>
  <c r="C26" i="15" s="1"/>
  <c r="E16" i="15"/>
  <c r="C16" i="15"/>
  <c r="D16" i="15"/>
  <c r="D18" i="15"/>
  <c r="C18" i="15"/>
  <c r="K33" i="5"/>
  <c r="F33" i="5"/>
  <c r="D33" i="5"/>
  <c r="C33" i="5"/>
  <c r="H33" i="5"/>
  <c r="G33" i="5"/>
  <c r="E33" i="5"/>
  <c r="I33" i="5"/>
  <c r="J33" i="5"/>
  <c r="C17" i="15"/>
  <c r="D17" i="15"/>
  <c r="C15" i="15"/>
  <c r="N45" i="2"/>
  <c r="K4" i="5" s="1"/>
  <c r="K10" i="5" s="1"/>
  <c r="C14" i="15"/>
  <c r="A25" i="15"/>
  <c r="D15" i="15"/>
  <c r="A24" i="15"/>
  <c r="D14" i="15"/>
  <c r="A23" i="15"/>
  <c r="C13" i="15"/>
  <c r="D13" i="15"/>
  <c r="I21" i="5"/>
  <c r="C21" i="5"/>
  <c r="H21" i="5"/>
  <c r="E21" i="5"/>
  <c r="J21" i="5"/>
  <c r="F21" i="5"/>
  <c r="K21" i="5"/>
  <c r="C28" i="15" l="1"/>
  <c r="K45" i="5"/>
  <c r="B31" i="15" s="1"/>
  <c r="C27" i="15"/>
  <c r="D26" i="15"/>
  <c r="E26" i="15"/>
  <c r="E28" i="15"/>
  <c r="E27" i="15"/>
  <c r="F18" i="15"/>
  <c r="G18" i="15" s="1"/>
  <c r="F16" i="15"/>
  <c r="G16" i="15" s="1"/>
  <c r="F17" i="15"/>
  <c r="G17" i="15" s="1"/>
  <c r="K34" i="5"/>
  <c r="F15" i="15"/>
  <c r="G15" i="15" s="1"/>
  <c r="E19" i="15"/>
  <c r="C19" i="15"/>
  <c r="D19" i="15"/>
  <c r="F14" i="15"/>
  <c r="G14" i="15" s="1"/>
  <c r="C25" i="15"/>
  <c r="D25" i="15"/>
  <c r="E25" i="15"/>
  <c r="D24" i="15"/>
  <c r="E24" i="15"/>
  <c r="C24" i="15"/>
  <c r="F13" i="15"/>
  <c r="E23" i="15"/>
  <c r="C23" i="15"/>
  <c r="D23" i="15"/>
  <c r="F28" i="15" l="1"/>
  <c r="G28" i="15" s="1"/>
  <c r="F27" i="15"/>
  <c r="G27" i="15" s="1"/>
  <c r="F26" i="15"/>
  <c r="G26" i="15" s="1"/>
  <c r="D29" i="15"/>
  <c r="F25" i="15"/>
  <c r="G25" i="15" s="1"/>
  <c r="C29" i="15"/>
  <c r="E29" i="15"/>
  <c r="F24" i="15"/>
  <c r="G24" i="15" s="1"/>
  <c r="F23" i="15"/>
  <c r="F19" i="15"/>
  <c r="G19" i="15" s="1"/>
  <c r="G13" i="15"/>
  <c r="B9" i="15" l="1"/>
  <c r="G23" i="15"/>
  <c r="G29" i="15" s="1"/>
  <c r="F29" i="15"/>
</calcChain>
</file>

<file path=xl/sharedStrings.xml><?xml version="1.0" encoding="utf-8"?>
<sst xmlns="http://schemas.openxmlformats.org/spreadsheetml/2006/main" count="322" uniqueCount="55">
  <si>
    <t>CONSULTOR DE VENDAS:</t>
  </si>
  <si>
    <t>MÊS REFERÊNCIA</t>
  </si>
  <si>
    <t>MARÇO</t>
  </si>
  <si>
    <t>LEADS</t>
  </si>
  <si>
    <t>DIA</t>
  </si>
  <si>
    <t>VENDAS</t>
  </si>
  <si>
    <t>VISITAS</t>
  </si>
  <si>
    <t>VENDA</t>
  </si>
  <si>
    <t>AGENDAMENTOS</t>
  </si>
  <si>
    <t>QUANTIDADE</t>
  </si>
  <si>
    <t>JANEIRO</t>
  </si>
  <si>
    <t>FEVEREIRO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</si>
  <si>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</si>
  <si>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</si>
  <si>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</si>
  <si>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</si>
  <si>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</si>
  <si>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</si>
  <si>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</si>
  <si>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</si>
  <si>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</si>
  <si>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SEMANA 1</t>
  </si>
  <si>
    <t>SEMANA 2</t>
  </si>
  <si>
    <t>SEMANA 3</t>
  </si>
  <si>
    <t>TOTAL</t>
  </si>
  <si>
    <t>* Recomenda-se realizar o fechamento da semana toda segunda-feira.</t>
  </si>
  <si>
    <t>VENDAS TOTAL</t>
  </si>
  <si>
    <t>CARTEIRA</t>
  </si>
  <si>
    <t>FLUXO DE PORTA</t>
  </si>
  <si>
    <t>VENDEDOR</t>
  </si>
  <si>
    <t>DIA &gt;&gt;&gt;&gt;</t>
  </si>
  <si>
    <t>MÊS:</t>
  </si>
  <si>
    <t>DIA:</t>
  </si>
  <si>
    <t>META DO MÊS:</t>
  </si>
  <si>
    <t>% DA META HOJE</t>
  </si>
  <si>
    <t>Hoje deveríamos estar com</t>
  </si>
  <si>
    <t>da meta</t>
  </si>
  <si>
    <t>RESULTADO:</t>
  </si>
  <si>
    <t>VENDEDOR:</t>
  </si>
  <si>
    <t>META</t>
  </si>
  <si>
    <t>RESULTADO DE VENDAS</t>
  </si>
  <si>
    <t>PORTA</t>
  </si>
  <si>
    <t>% META</t>
  </si>
  <si>
    <t>PERFORMANCE</t>
  </si>
  <si>
    <t>DEZENA 1</t>
  </si>
  <si>
    <t>DEZENA 2</t>
  </si>
  <si>
    <t>DEZENA 3</t>
  </si>
  <si>
    <t>DEZENA &gt;&gt;&gt;&gt;</t>
  </si>
  <si>
    <t>MÊS &gt;&gt;&gt;&gt;</t>
  </si>
  <si>
    <t>NEGOCIAÇÕES NO MÊS</t>
  </si>
  <si>
    <t>AGENDAMENTO</t>
  </si>
  <si>
    <t>VISITA</t>
  </si>
  <si>
    <t>AGENDAMENTOS DE HOJE</t>
  </si>
  <si>
    <t>INTERNET</t>
  </si>
  <si>
    <t>* Realizar o FEEDBACK ESTRUTURADO com o vendedor ao final de cada dezena.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</si>
</sst>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R$&quot;* #,##0.00_-;\-&quot;R$&quot;* #,##0.00_-;_-&quot;R$&quot;* &quot;-&quot;??_-;_-@_-"/>
    <numFmt numFmtId="165" formatCode="0.0"/>
    <numFmt numFmtId="166" formatCode="mm/yyyy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0"/>
      <color rgb="FFFBAE17"/>
      <name val="Aptos Narrow"/>
      <family val="2"/>
      <scheme val="minor"/>
    </font>
    <font>
      <b/>
      <sz val="11"/>
      <color rgb="FFFBAE17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4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0"/>
      <color theme="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002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indexed="64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/>
      <diagonal/>
    </border>
    <border>
      <left style="thin">
        <color theme="0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theme="0"/>
      </left>
      <right/>
      <top style="medium">
        <color indexed="64"/>
      </top>
      <bottom style="thin">
        <color theme="0"/>
      </bottom>
      <diagonal/>
    </border>
    <border>
      <left/>
      <right style="thin">
        <color theme="0"/>
      </right>
      <top style="medium">
        <color indexed="64"/>
      </top>
      <bottom style="thin">
        <color theme="0"/>
      </bottom>
      <diagonal/>
    </border>
    <border>
      <left/>
      <right/>
      <top style="medium">
        <color indexed="64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/>
      </bottom>
      <diagonal/>
    </border>
    <border>
      <left/>
      <right style="medium">
        <color indexed="64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/>
      <bottom style="medium">
        <color indexed="64"/>
      </bottom>
      <diagonal/>
    </border>
    <border>
      <left style="thin">
        <color theme="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5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vertical="center"/>
    </xf>
    <xf numFmtId="0" fontId="6" fillId="3" borderId="4" xfId="0" applyFont="1" applyFill="1" applyBorder="1" applyAlignment="1">
      <alignment vertical="center"/>
    </xf>
    <xf numFmtId="0" fontId="5" fillId="2" borderId="5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0" fillId="3" borderId="6" xfId="0" applyFill="1" applyBorder="1" applyAlignment="1">
      <alignment vertical="center" wrapText="1"/>
    </xf>
    <xf numFmtId="1" fontId="0" fillId="0" borderId="7" xfId="0" applyNumberForma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/>
    </xf>
    <xf numFmtId="1" fontId="0" fillId="4" borderId="7" xfId="0" applyNumberFormat="1" applyFill="1" applyBorder="1" applyAlignment="1">
      <alignment horizontal="center" vertical="center" wrapText="1"/>
    </xf>
    <xf numFmtId="1" fontId="2" fillId="0" borderId="9" xfId="0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 wrapText="1"/>
    </xf>
    <xf numFmtId="0" fontId="2" fillId="0" borderId="0" xfId="0" applyFont="1"/>
    <xf numFmtId="1" fontId="2" fillId="0" borderId="1" xfId="0" applyNumberFormat="1" applyFont="1" applyBorder="1" applyAlignment="1">
      <alignment horizontal="center" vertical="center" wrapText="1"/>
    </xf>
    <xf numFmtId="1" fontId="2" fillId="5" borderId="7" xfId="0" applyNumberFormat="1" applyFont="1" applyFill="1" applyBorder="1" applyAlignment="1">
      <alignment horizontal="center" vertical="center" wrapText="1"/>
    </xf>
    <xf numFmtId="1" fontId="2" fillId="5" borderId="1" xfId="0" applyNumberFormat="1" applyFont="1" applyFill="1" applyBorder="1" applyAlignment="1">
      <alignment horizontal="center" vertical="center" wrapText="1"/>
    </xf>
    <xf numFmtId="1" fontId="2" fillId="5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2" borderId="16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/>
    </xf>
    <xf numFmtId="0" fontId="0" fillId="0" borderId="25" xfId="0" applyBorder="1" applyAlignment="1">
      <alignment vertical="center"/>
    </xf>
    <xf numFmtId="165" fontId="0" fillId="0" borderId="0" xfId="0" applyNumberFormat="1" applyAlignment="1">
      <alignment horizontal="center"/>
    </xf>
    <xf numFmtId="0" fontId="2" fillId="0" borderId="9" xfId="0" applyFont="1" applyBorder="1" applyAlignment="1">
      <alignment horizontal="center" vertical="center"/>
    </xf>
    <xf numFmtId="1" fontId="2" fillId="5" borderId="8" xfId="0" applyNumberFormat="1" applyFont="1" applyFill="1" applyBorder="1" applyAlignment="1">
      <alignment horizontal="center" vertical="center"/>
    </xf>
    <xf numFmtId="1" fontId="2" fillId="0" borderId="26" xfId="0" applyNumberFormat="1" applyFont="1" applyBorder="1" applyAlignment="1">
      <alignment horizontal="center" vertical="center"/>
    </xf>
    <xf numFmtId="9" fontId="2" fillId="0" borderId="31" xfId="0" applyNumberFormat="1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9" fontId="0" fillId="0" borderId="0" xfId="2" applyFont="1"/>
    <xf numFmtId="0" fontId="2" fillId="5" borderId="1" xfId="0" applyFont="1" applyFill="1" applyBorder="1" applyAlignment="1">
      <alignment horizontal="center"/>
    </xf>
    <xf numFmtId="0" fontId="2" fillId="5" borderId="33" xfId="0" applyFont="1" applyFill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36" xfId="0" applyFont="1" applyBorder="1" applyAlignment="1">
      <alignment horizontal="left" vertical="center"/>
    </xf>
    <xf numFmtId="0" fontId="2" fillId="5" borderId="25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36" xfId="0" applyFont="1" applyBorder="1" applyAlignment="1">
      <alignment vertical="center"/>
    </xf>
    <xf numFmtId="9" fontId="2" fillId="0" borderId="37" xfId="0" applyNumberFormat="1" applyFont="1" applyBorder="1" applyAlignment="1">
      <alignment vertical="center"/>
    </xf>
    <xf numFmtId="0" fontId="0" fillId="0" borderId="23" xfId="0" applyBorder="1"/>
    <xf numFmtId="0" fontId="0" fillId="0" borderId="36" xfId="0" applyBorder="1"/>
    <xf numFmtId="0" fontId="2" fillId="5" borderId="26" xfId="0" applyFont="1" applyFill="1" applyBorder="1" applyAlignment="1">
      <alignment horizontal="center"/>
    </xf>
    <xf numFmtId="9" fontId="0" fillId="0" borderId="26" xfId="2" applyFont="1" applyBorder="1" applyAlignment="1">
      <alignment horizontal="center"/>
    </xf>
    <xf numFmtId="9" fontId="2" fillId="5" borderId="26" xfId="2" applyFont="1" applyFill="1" applyBorder="1" applyAlignment="1">
      <alignment horizontal="center" vertical="center"/>
    </xf>
    <xf numFmtId="0" fontId="2" fillId="0" borderId="38" xfId="0" applyFont="1" applyBorder="1" applyAlignment="1">
      <alignment horizontal="center" vertical="center" wrapText="1"/>
    </xf>
    <xf numFmtId="14" fontId="10" fillId="0" borderId="0" xfId="0" applyNumberFormat="1" applyFont="1"/>
    <xf numFmtId="0" fontId="10" fillId="0" borderId="0" xfId="0" applyFont="1"/>
    <xf numFmtId="1" fontId="10" fillId="0" borderId="0" xfId="0" applyNumberFormat="1" applyFont="1"/>
    <xf numFmtId="1" fontId="0" fillId="3" borderId="7" xfId="0" applyNumberFormat="1" applyFill="1" applyBorder="1" applyAlignment="1" applyProtection="1">
      <alignment horizontal="center" vertical="center" wrapText="1"/>
      <protection locked="0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/>
      <protection locked="0"/>
    </xf>
    <xf numFmtId="9" fontId="3" fillId="0" borderId="31" xfId="2" applyFont="1" applyBorder="1" applyAlignment="1">
      <alignment horizontal="center" vertical="center"/>
    </xf>
    <xf numFmtId="0" fontId="12" fillId="8" borderId="5" xfId="0" applyFont="1" applyFill="1" applyBorder="1" applyAlignment="1">
      <alignment horizontal="center" vertical="center" wrapText="1"/>
    </xf>
    <xf numFmtId="0" fontId="12" fillId="8" borderId="43" xfId="0" applyFont="1" applyFill="1" applyBorder="1" applyAlignment="1">
      <alignment horizontal="center" vertical="center" wrapText="1"/>
    </xf>
    <xf numFmtId="0" fontId="12" fillId="8" borderId="44" xfId="0" applyFont="1" applyFill="1" applyBorder="1" applyAlignment="1">
      <alignment horizontal="center" vertical="center" wrapText="1"/>
    </xf>
    <xf numFmtId="1" fontId="0" fillId="4" borderId="45" xfId="0" applyNumberFormat="1" applyFill="1" applyBorder="1" applyAlignment="1" applyProtection="1">
      <alignment horizontal="center" vertical="center" wrapText="1"/>
      <protection locked="0"/>
    </xf>
    <xf numFmtId="1" fontId="0" fillId="3" borderId="46" xfId="0" applyNumberFormat="1" applyFill="1" applyBorder="1" applyAlignment="1" applyProtection="1">
      <alignment horizontal="center" vertical="center" wrapText="1"/>
      <protection locked="0"/>
    </xf>
    <xf numFmtId="1" fontId="0" fillId="4" borderId="47" xfId="0" applyNumberFormat="1" applyFill="1" applyBorder="1" applyAlignment="1" applyProtection="1">
      <alignment horizontal="center" vertical="center" wrapText="1"/>
      <protection locked="0"/>
    </xf>
    <xf numFmtId="1" fontId="0" fillId="3" borderId="48" xfId="0" applyNumberFormat="1" applyFill="1" applyBorder="1" applyAlignment="1" applyProtection="1">
      <alignment horizontal="center" vertical="center" wrapText="1"/>
      <protection locked="0"/>
    </xf>
    <xf numFmtId="1" fontId="0" fillId="3" borderId="49" xfId="0" applyNumberFormat="1" applyFill="1" applyBorder="1" applyAlignment="1" applyProtection="1">
      <alignment horizontal="center" vertical="center" wrapText="1"/>
      <protection locked="0"/>
    </xf>
    <xf numFmtId="1" fontId="2" fillId="0" borderId="50" xfId="0" applyNumberFormat="1" applyFont="1" applyBorder="1" applyAlignment="1">
      <alignment horizontal="center" vertical="center" wrapText="1"/>
    </xf>
    <xf numFmtId="1" fontId="2" fillId="0" borderId="51" xfId="0" applyNumberFormat="1" applyFont="1" applyBorder="1" applyAlignment="1">
      <alignment horizontal="center" vertical="center" wrapText="1"/>
    </xf>
    <xf numFmtId="1" fontId="2" fillId="0" borderId="52" xfId="0" applyNumberFormat="1" applyFont="1" applyBorder="1" applyAlignment="1">
      <alignment horizontal="center" vertical="center" wrapText="1"/>
    </xf>
    <xf numFmtId="1" fontId="2" fillId="5" borderId="8" xfId="0" applyNumberFormat="1" applyFont="1" applyFill="1" applyBorder="1" applyAlignment="1">
      <alignment horizontal="center" vertical="center" wrapText="1"/>
    </xf>
    <xf numFmtId="1" fontId="2" fillId="5" borderId="53" xfId="0" applyNumberFormat="1" applyFont="1" applyFill="1" applyBorder="1" applyAlignment="1">
      <alignment horizontal="center" vertical="center" wrapText="1"/>
    </xf>
    <xf numFmtId="1" fontId="2" fillId="5" borderId="17" xfId="0" applyNumberFormat="1" applyFont="1" applyFill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center" vertical="center"/>
    </xf>
    <xf numFmtId="0" fontId="2" fillId="0" borderId="54" xfId="0" applyFont="1" applyBorder="1" applyAlignment="1">
      <alignment horizontal="center" vertical="center" wrapText="1"/>
    </xf>
    <xf numFmtId="0" fontId="2" fillId="0" borderId="55" xfId="0" applyFont="1" applyBorder="1" applyAlignment="1">
      <alignment horizontal="center" vertical="center" wrapText="1"/>
    </xf>
    <xf numFmtId="0" fontId="7" fillId="0" borderId="55" xfId="0" applyFont="1" applyBorder="1" applyAlignment="1">
      <alignment horizontal="center" vertical="center" wrapText="1"/>
    </xf>
    <xf numFmtId="0" fontId="2" fillId="0" borderId="56" xfId="0" applyFont="1" applyBorder="1" applyAlignment="1">
      <alignment horizontal="center" vertical="center" wrapText="1"/>
    </xf>
    <xf numFmtId="0" fontId="11" fillId="8" borderId="8" xfId="0" applyFont="1" applyFill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0" fillId="0" borderId="25" xfId="0" applyBorder="1" applyAlignment="1">
      <alignment horizontal="left"/>
    </xf>
    <xf numFmtId="14" fontId="0" fillId="0" borderId="0" xfId="0" applyNumberFormat="1" applyAlignment="1">
      <alignment horizontal="center"/>
    </xf>
    <xf numFmtId="1" fontId="0" fillId="0" borderId="0" xfId="0" applyNumberFormat="1"/>
    <xf numFmtId="14" fontId="6" fillId="2" borderId="17" xfId="0" applyNumberFormat="1" applyFont="1" applyFill="1" applyBorder="1" applyAlignment="1">
      <alignment horizontal="center" vertical="center"/>
    </xf>
    <xf numFmtId="1" fontId="0" fillId="3" borderId="39" xfId="0" applyNumberFormat="1" applyFill="1" applyBorder="1" applyAlignment="1" applyProtection="1">
      <alignment horizontal="center" vertical="center" wrapText="1"/>
      <protection locked="0"/>
    </xf>
    <xf numFmtId="164" fontId="5" fillId="2" borderId="13" xfId="1" applyFont="1" applyFill="1" applyBorder="1" applyAlignment="1">
      <alignment horizontal="center" vertical="center" wrapText="1"/>
    </xf>
    <xf numFmtId="164" fontId="5" fillId="2" borderId="14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2" borderId="15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3" fillId="7" borderId="9" xfId="0" applyFont="1" applyFill="1" applyBorder="1" applyAlignment="1" applyProtection="1">
      <alignment horizontal="center" vertical="center"/>
      <protection locked="0"/>
    </xf>
    <xf numFmtId="0" fontId="3" fillId="7" borderId="27" xfId="0" applyFont="1" applyFill="1" applyBorder="1" applyAlignment="1" applyProtection="1">
      <alignment horizontal="center" vertical="center"/>
      <protection locked="0"/>
    </xf>
    <xf numFmtId="0" fontId="3" fillId="7" borderId="28" xfId="0" applyFont="1" applyFill="1" applyBorder="1" applyAlignment="1" applyProtection="1">
      <alignment horizontal="center" vertical="center"/>
      <protection locked="0"/>
    </xf>
    <xf numFmtId="0" fontId="5" fillId="2" borderId="18" xfId="0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 wrapText="1"/>
    </xf>
    <xf numFmtId="164" fontId="5" fillId="2" borderId="22" xfId="1" applyFont="1" applyFill="1" applyBorder="1" applyAlignment="1">
      <alignment horizontal="center" vertical="center" wrapText="1"/>
    </xf>
    <xf numFmtId="164" fontId="5" fillId="2" borderId="24" xfId="1" applyFont="1" applyFill="1" applyBorder="1" applyAlignment="1">
      <alignment horizontal="center" vertical="center" wrapText="1"/>
    </xf>
    <xf numFmtId="0" fontId="3" fillId="7" borderId="29" xfId="0" applyFont="1" applyFill="1" applyBorder="1" applyAlignment="1" applyProtection="1">
      <alignment horizontal="center" vertical="center"/>
      <protection locked="0"/>
    </xf>
    <xf numFmtId="0" fontId="3" fillId="7" borderId="0" xfId="0" applyFont="1" applyFill="1" applyAlignment="1" applyProtection="1">
      <alignment horizontal="center" vertical="center"/>
      <protection locked="0"/>
    </xf>
    <xf numFmtId="164" fontId="12" fillId="8" borderId="2" xfId="1" applyFont="1" applyFill="1" applyBorder="1" applyAlignment="1">
      <alignment horizontal="center" vertical="center" wrapText="1"/>
    </xf>
    <xf numFmtId="164" fontId="12" fillId="8" borderId="17" xfId="1" applyFont="1" applyFill="1" applyBorder="1" applyAlignment="1">
      <alignment horizontal="center" vertical="center" wrapText="1"/>
    </xf>
    <xf numFmtId="0" fontId="12" fillId="8" borderId="41" xfId="0" applyFont="1" applyFill="1" applyBorder="1" applyAlignment="1">
      <alignment horizontal="center" vertical="center" wrapText="1"/>
    </xf>
    <xf numFmtId="0" fontId="12" fillId="8" borderId="42" xfId="0" applyFont="1" applyFill="1" applyBorder="1" applyAlignment="1">
      <alignment horizontal="center" vertical="center" wrapText="1"/>
    </xf>
    <xf numFmtId="0" fontId="12" fillId="8" borderId="21" xfId="0" applyFont="1" applyFill="1" applyBorder="1" applyAlignment="1">
      <alignment horizontal="center" vertical="center" wrapText="1"/>
    </xf>
    <xf numFmtId="0" fontId="4" fillId="0" borderId="1" xfId="0" applyFont="1" applyBorder="1" applyAlignment="1" applyProtection="1">
      <alignment horizontal="left" vertical="center"/>
      <protection locked="0"/>
    </xf>
    <xf numFmtId="0" fontId="11" fillId="8" borderId="2" xfId="0" applyFont="1" applyFill="1" applyBorder="1" applyAlignment="1">
      <alignment horizontal="center" vertical="center"/>
    </xf>
    <xf numFmtId="0" fontId="11" fillId="8" borderId="17" xfId="0" applyFont="1" applyFill="1" applyBorder="1" applyAlignment="1">
      <alignment horizontal="center" vertical="center"/>
    </xf>
    <xf numFmtId="0" fontId="2" fillId="5" borderId="25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30" xfId="0" applyFont="1" applyFill="1" applyBorder="1" applyAlignment="1">
      <alignment horizontal="center"/>
    </xf>
    <xf numFmtId="0" fontId="2" fillId="5" borderId="31" xfId="0" applyFont="1" applyFill="1" applyBorder="1" applyAlignment="1">
      <alignment horizontal="center"/>
    </xf>
    <xf numFmtId="0" fontId="2" fillId="5" borderId="37" xfId="0" applyFont="1" applyFill="1" applyBorder="1" applyAlignment="1">
      <alignment horizontal="center"/>
    </xf>
    <xf numFmtId="0" fontId="9" fillId="6" borderId="39" xfId="0" applyFont="1" applyFill="1" applyBorder="1" applyAlignment="1">
      <alignment horizontal="center" vertical="center"/>
    </xf>
    <xf numFmtId="0" fontId="9" fillId="6" borderId="40" xfId="0" applyFont="1" applyFill="1" applyBorder="1" applyAlignment="1">
      <alignment horizontal="center" vertical="center"/>
    </xf>
    <xf numFmtId="166" fontId="3" fillId="0" borderId="34" xfId="0" applyNumberFormat="1" applyFont="1" applyBorder="1" applyAlignment="1">
      <alignment horizontal="left" vertical="center"/>
    </xf>
    <xf numFmtId="166" fontId="3" fillId="0" borderId="35" xfId="0" applyNumberFormat="1" applyFont="1" applyBorder="1" applyAlignment="1">
      <alignment horizontal="left" vertical="center"/>
    </xf>
    <xf numFmtId="14" fontId="3" fillId="0" borderId="1" xfId="0" applyNumberFormat="1" applyFont="1" applyBorder="1" applyAlignment="1">
      <alignment horizontal="left" vertical="center"/>
    </xf>
    <xf numFmtId="14" fontId="3" fillId="0" borderId="26" xfId="0" applyNumberFormat="1" applyFont="1" applyBorder="1" applyAlignment="1">
      <alignment horizontal="left" vertical="center"/>
    </xf>
    <xf numFmtId="0" fontId="8" fillId="0" borderId="1" xfId="0" applyFont="1" applyBorder="1" applyAlignment="1" applyProtection="1">
      <alignment horizontal="left" vertical="center"/>
      <protection locked="0"/>
    </xf>
    <xf numFmtId="0" fontId="8" fillId="0" borderId="26" xfId="0" applyFont="1" applyBorder="1" applyAlignment="1" applyProtection="1">
      <alignment horizontal="left" vertical="center"/>
      <protection locked="0"/>
    </xf>
    <xf numFmtId="9" fontId="2" fillId="0" borderId="30" xfId="0" applyNumberFormat="1" applyFont="1" applyBorder="1" applyAlignment="1">
      <alignment horizontal="right" vertical="center"/>
    </xf>
    <xf numFmtId="9" fontId="2" fillId="0" borderId="3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5" borderId="32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5" borderId="30" xfId="0" applyFont="1" applyFill="1" applyBorder="1" applyAlignment="1">
      <alignment horizontal="center" vertical="center"/>
    </xf>
    <xf numFmtId="0" fontId="2" fillId="5" borderId="31" xfId="0" applyFont="1" applyFill="1" applyBorder="1" applyAlignment="1">
      <alignment horizontal="center" vertical="center"/>
    </xf>
    <xf numFmtId="0" fontId="2" fillId="5" borderId="37" xfId="0" applyFont="1" applyFill="1" applyBorder="1" applyAlignment="1">
      <alignment horizontal="center" vertical="center"/>
    </xf>
  </cellXfs>
  <cellStyles count="3">
    <cellStyle name="Moeda" xfId="1" builtinId="4"/>
    <cellStyle name="Normal" xfId="0" builtinId="0"/>
    <cellStyle name="Porcentagem" xfId="2" builtinId="5"/>
  </cellStyles>
  <dxfs count="4">
    <dxf>
      <font>
        <b/>
        <i val="0"/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7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2DCEA-8FBD-41DD-AE53-4A51B6BC39B0}">
  <sheetPr>
    <pageSetUpPr fitToPage="1"/>
  </sheetPr>
  <dimension ref="A1:V47"/>
  <sheetViews>
    <sheetView showGridLines="0" zoomScaleNormal="100" workbookViewId="0">
      <pane xSplit="2" ySplit="6" topLeftCell="C7" activePane="bottomRight" state="frozen"/>
      <selection pane="topRight" activeCell="C1" sqref="C1"/>
      <selection pane="bottomLeft" activeCell="A6" sqref="A6"/>
      <selection pane="bottomRight" activeCell="E7" sqref="E7"/>
    </sheetView>
  </sheetViews>
  <sheetFormatPr defaultColWidth="0" defaultRowHeight="0" customHeight="1" zeroHeight="1" x14ac:dyDescent="0.35"/>
  <cols>
    <col min="1" max="1" width="1.81640625" customWidth="1"/>
    <col min="2" max="2" width="11.54296875" customWidth="1"/>
    <col min="3" max="4" width="1.453125" customWidth="1"/>
    <col min="5" max="8" width="9.54296875" customWidth="1"/>
    <col min="9" max="9" width="14" customWidth="1"/>
    <col min="10" max="11" width="9.54296875" customWidth="1"/>
    <col min="12" max="12" width="14" customWidth="1"/>
    <col min="13" max="13" width="10.81640625" bestFit="1" customWidth="1"/>
    <col min="14" max="14" width="13.54296875" customWidth="1"/>
    <col min="15" max="15" width="2.26953125" customWidth="1"/>
    <col min="16" max="22" width="0" hidden="1" customWidth="1"/>
    <col min="23" max="16384" width="8.7265625" hidden="1"/>
  </cols>
  <sheetData>
    <row r="1" spans="2:22" ht="32.15" customHeight="1" x14ac:dyDescent="0.35">
      <c r="B1" s="87" t="s">
        <v>0</v>
      </c>
      <c r="C1" s="87"/>
      <c r="D1" s="87"/>
      <c r="E1" s="87"/>
      <c r="F1" s="87"/>
      <c r="G1" s="87"/>
      <c r="H1" s="87"/>
      <c r="I1" s="88"/>
      <c r="J1" s="88"/>
      <c r="K1" s="88"/>
      <c r="L1" s="88"/>
      <c r="M1" s="2"/>
    </row>
    <row r="2" spans="2:22" ht="10.5" customHeight="1" x14ac:dyDescent="0.35">
      <c r="B2" s="1"/>
      <c r="E2" s="2"/>
      <c r="F2" s="2"/>
      <c r="G2" s="2"/>
      <c r="H2" s="2"/>
      <c r="I2" s="2"/>
    </row>
    <row r="3" spans="2:22" ht="32.15" customHeight="1" x14ac:dyDescent="0.35">
      <c r="B3" s="87" t="s">
        <v>1</v>
      </c>
      <c r="C3" s="87"/>
      <c r="D3" s="87"/>
      <c r="E3" s="87"/>
      <c r="F3" s="87"/>
      <c r="G3" s="87"/>
      <c r="H3" s="87"/>
      <c r="I3" s="88"/>
      <c r="J3" s="88"/>
      <c r="K3" s="88"/>
      <c r="L3" s="88"/>
      <c r="M3" s="2"/>
    </row>
    <row r="4" spans="2:22" ht="10.5" customHeight="1" x14ac:dyDescent="0.35">
      <c r="B4" s="3"/>
    </row>
    <row r="5" spans="2:22" ht="13.5" customHeight="1" thickBot="1" x14ac:dyDescent="0.4">
      <c r="B5" s="3"/>
      <c r="E5" s="89" t="s">
        <v>28</v>
      </c>
      <c r="F5" s="90"/>
      <c r="G5" s="91" t="s">
        <v>27</v>
      </c>
      <c r="H5" s="91"/>
      <c r="I5" s="90"/>
      <c r="J5" s="92" t="s">
        <v>3</v>
      </c>
      <c r="K5" s="91"/>
      <c r="L5" s="91"/>
      <c r="M5" s="90"/>
      <c r="N5" s="85" t="s">
        <v>26</v>
      </c>
    </row>
    <row r="6" spans="2:22" ht="27" customHeight="1" thickBot="1" x14ac:dyDescent="0.4">
      <c r="B6" s="4" t="s">
        <v>4</v>
      </c>
      <c r="C6" s="5"/>
      <c r="D6" s="6"/>
      <c r="E6" s="7" t="s">
        <v>5</v>
      </c>
      <c r="F6" s="7" t="s">
        <v>6</v>
      </c>
      <c r="G6" s="7" t="s">
        <v>5</v>
      </c>
      <c r="H6" s="7" t="s">
        <v>6</v>
      </c>
      <c r="I6" s="7" t="s">
        <v>8</v>
      </c>
      <c r="J6" s="7" t="s">
        <v>7</v>
      </c>
      <c r="K6" s="7" t="s">
        <v>6</v>
      </c>
      <c r="L6" s="7" t="s">
        <v>8</v>
      </c>
      <c r="M6" s="7" t="s">
        <v>9</v>
      </c>
      <c r="N6" s="86"/>
    </row>
    <row r="7" spans="2:22" ht="14.5" x14ac:dyDescent="0.35">
      <c r="B7" s="8">
        <v>1</v>
      </c>
      <c r="C7" s="9"/>
      <c r="D7" s="10"/>
      <c r="E7" s="14"/>
      <c r="F7" s="11"/>
      <c r="G7" s="14"/>
      <c r="H7" s="11"/>
      <c r="I7" s="11"/>
      <c r="J7" s="14"/>
      <c r="K7" s="11"/>
      <c r="L7" s="11"/>
      <c r="M7" s="11"/>
      <c r="N7" s="19"/>
      <c r="V7" t="s">
        <v>10</v>
      </c>
    </row>
    <row r="8" spans="2:22" ht="14.5" x14ac:dyDescent="0.35">
      <c r="B8" s="8">
        <v>2</v>
      </c>
      <c r="C8" s="9"/>
      <c r="D8" s="10"/>
      <c r="E8" s="14"/>
      <c r="F8" s="11"/>
      <c r="G8" s="14"/>
      <c r="H8" s="11"/>
      <c r="I8" s="11"/>
      <c r="J8" s="14"/>
      <c r="K8" s="11"/>
      <c r="L8" s="11"/>
      <c r="M8" s="11"/>
      <c r="N8" s="19"/>
      <c r="V8" t="s">
        <v>11</v>
      </c>
    </row>
    <row r="9" spans="2:22" ht="14.5" x14ac:dyDescent="0.35">
      <c r="B9" s="8">
        <v>3</v>
      </c>
      <c r="C9" s="9"/>
      <c r="D9" s="10"/>
      <c r="E9" s="14"/>
      <c r="F9" s="11"/>
      <c r="G9" s="14"/>
      <c r="H9" s="11"/>
      <c r="I9" s="11"/>
      <c r="J9" s="14"/>
      <c r="K9" s="11"/>
      <c r="L9" s="11"/>
      <c r="M9" s="11"/>
      <c r="N9" s="19"/>
      <c r="V9" t="s">
        <v>2</v>
      </c>
    </row>
    <row r="10" spans="2:22" ht="14.5" x14ac:dyDescent="0.35">
      <c r="B10" s="8">
        <v>4</v>
      </c>
      <c r="C10" s="9"/>
      <c r="D10" s="10"/>
      <c r="E10" s="14"/>
      <c r="F10" s="11"/>
      <c r="G10" s="14"/>
      <c r="H10" s="11"/>
      <c r="I10" s="11"/>
      <c r="J10" s="14"/>
      <c r="K10" s="11"/>
      <c r="L10" s="11"/>
      <c r="M10" s="11"/>
      <c r="N10" s="19"/>
      <c r="V10" t="s">
        <v>12</v>
      </c>
    </row>
    <row r="11" spans="2:22" ht="14.5" x14ac:dyDescent="0.35">
      <c r="B11" s="8">
        <v>5</v>
      </c>
      <c r="C11" s="9"/>
      <c r="D11" s="10"/>
      <c r="E11" s="14"/>
      <c r="F11" s="11"/>
      <c r="G11" s="14"/>
      <c r="H11" s="11"/>
      <c r="I11" s="11"/>
      <c r="J11" s="14"/>
      <c r="K11" s="11"/>
      <c r="L11" s="11"/>
      <c r="M11" s="11"/>
      <c r="N11" s="19"/>
      <c r="V11" t="s">
        <v>13</v>
      </c>
    </row>
    <row r="12" spans="2:22" ht="14.5" x14ac:dyDescent="0.35">
      <c r="B12" s="12">
        <v>6</v>
      </c>
      <c r="C12" s="9"/>
      <c r="D12" s="10"/>
      <c r="E12" s="14"/>
      <c r="F12" s="11"/>
      <c r="G12" s="14"/>
      <c r="H12" s="11"/>
      <c r="I12" s="11"/>
      <c r="J12" s="14"/>
      <c r="K12" s="11"/>
      <c r="L12" s="11"/>
      <c r="M12" s="11"/>
      <c r="N12" s="19"/>
      <c r="V12" t="s">
        <v>14</v>
      </c>
    </row>
    <row r="13" spans="2:22" ht="14.5" x14ac:dyDescent="0.35">
      <c r="B13" s="8">
        <v>7</v>
      </c>
      <c r="C13" s="9"/>
      <c r="D13" s="10"/>
      <c r="E13" s="14"/>
      <c r="F13" s="11"/>
      <c r="G13" s="14"/>
      <c r="H13" s="11"/>
      <c r="I13" s="11"/>
      <c r="J13" s="14"/>
      <c r="K13" s="11"/>
      <c r="L13" s="11"/>
      <c r="M13" s="11"/>
      <c r="N13" s="19"/>
      <c r="V13" t="s">
        <v>15</v>
      </c>
    </row>
    <row r="14" spans="2:22" ht="14.5" x14ac:dyDescent="0.35">
      <c r="B14" s="8">
        <v>8</v>
      </c>
      <c r="E14" s="14"/>
      <c r="F14" s="11"/>
      <c r="G14" s="14"/>
      <c r="H14" s="11"/>
      <c r="I14" s="11"/>
      <c r="J14" s="14"/>
      <c r="K14" s="11"/>
      <c r="L14" s="11"/>
      <c r="M14" s="11"/>
      <c r="N14" s="19"/>
      <c r="V14" t="s">
        <v>16</v>
      </c>
    </row>
    <row r="15" spans="2:22" ht="14.5" x14ac:dyDescent="0.35">
      <c r="B15" s="8">
        <v>9</v>
      </c>
      <c r="E15" s="14"/>
      <c r="F15" s="11"/>
      <c r="G15" s="14"/>
      <c r="H15" s="11"/>
      <c r="I15" s="11"/>
      <c r="J15" s="14"/>
      <c r="K15" s="11"/>
      <c r="L15" s="11"/>
      <c r="M15" s="11"/>
      <c r="N15" s="19"/>
      <c r="V15" t="s">
        <v>17</v>
      </c>
    </row>
    <row r="16" spans="2:22" ht="14.5" x14ac:dyDescent="0.35">
      <c r="B16" s="8">
        <v>10</v>
      </c>
      <c r="E16" s="14"/>
      <c r="F16" s="11"/>
      <c r="G16" s="14"/>
      <c r="H16" s="11"/>
      <c r="I16" s="11"/>
      <c r="J16" s="14"/>
      <c r="K16" s="11"/>
      <c r="L16" s="11"/>
      <c r="M16" s="11"/>
      <c r="N16" s="19"/>
      <c r="V16" t="s">
        <v>18</v>
      </c>
    </row>
    <row r="17" spans="2:22" ht="14.5" x14ac:dyDescent="0.35">
      <c r="B17" s="8">
        <v>11</v>
      </c>
      <c r="E17" s="14"/>
      <c r="F17" s="11"/>
      <c r="G17" s="14"/>
      <c r="H17" s="11"/>
      <c r="I17" s="11"/>
      <c r="J17" s="14"/>
      <c r="K17" s="11"/>
      <c r="L17" s="11"/>
      <c r="M17" s="11"/>
      <c r="N17" s="19"/>
      <c r="V17" t="s">
        <v>19</v>
      </c>
    </row>
    <row r="18" spans="2:22" ht="14.5" x14ac:dyDescent="0.35">
      <c r="B18" s="8">
        <v>12</v>
      </c>
      <c r="E18" s="14"/>
      <c r="F18" s="11"/>
      <c r="G18" s="14"/>
      <c r="H18" s="11"/>
      <c r="I18" s="11"/>
      <c r="J18" s="14"/>
      <c r="K18" s="11"/>
      <c r="L18" s="11"/>
      <c r="M18" s="11"/>
      <c r="N18" s="19"/>
      <c r="V18" t="s">
        <v>20</v>
      </c>
    </row>
    <row r="19" spans="2:22" ht="14.5" x14ac:dyDescent="0.35">
      <c r="B19" s="8">
        <v>13</v>
      </c>
      <c r="E19" s="14"/>
      <c r="F19" s="11"/>
      <c r="G19" s="14"/>
      <c r="H19" s="11"/>
      <c r="I19" s="11"/>
      <c r="J19" s="14"/>
      <c r="K19" s="11"/>
      <c r="L19" s="11"/>
      <c r="M19" s="11"/>
      <c r="N19" s="19"/>
    </row>
    <row r="20" spans="2:22" ht="14.5" x14ac:dyDescent="0.35">
      <c r="B20" s="12">
        <v>14</v>
      </c>
      <c r="E20" s="14"/>
      <c r="F20" s="11"/>
      <c r="G20" s="14"/>
      <c r="H20" s="11"/>
      <c r="I20" s="11"/>
      <c r="J20" s="14"/>
      <c r="K20" s="11"/>
      <c r="L20" s="11"/>
      <c r="M20" s="11"/>
      <c r="N20" s="19"/>
    </row>
    <row r="21" spans="2:22" ht="14.5" x14ac:dyDescent="0.35">
      <c r="B21" s="8">
        <v>15</v>
      </c>
      <c r="E21" s="14"/>
      <c r="F21" s="11"/>
      <c r="G21" s="14"/>
      <c r="H21" s="11"/>
      <c r="I21" s="11"/>
      <c r="J21" s="14"/>
      <c r="K21" s="11"/>
      <c r="L21" s="11"/>
      <c r="M21" s="11"/>
      <c r="N21" s="19"/>
    </row>
    <row r="22" spans="2:22" ht="14.5" x14ac:dyDescent="0.35">
      <c r="B22" s="8">
        <v>16</v>
      </c>
      <c r="E22" s="14"/>
      <c r="F22" s="11"/>
      <c r="G22" s="14"/>
      <c r="H22" s="11"/>
      <c r="I22" s="11"/>
      <c r="J22" s="14"/>
      <c r="K22" s="11"/>
      <c r="L22" s="11"/>
      <c r="M22" s="11"/>
      <c r="N22" s="19"/>
    </row>
    <row r="23" spans="2:22" ht="14.5" x14ac:dyDescent="0.35">
      <c r="B23" s="8">
        <v>17</v>
      </c>
      <c r="E23" s="14"/>
      <c r="F23" s="11"/>
      <c r="G23" s="14"/>
      <c r="H23" s="11"/>
      <c r="I23" s="11"/>
      <c r="J23" s="14"/>
      <c r="K23" s="11"/>
      <c r="L23" s="11"/>
      <c r="M23" s="11"/>
      <c r="N23" s="19"/>
    </row>
    <row r="24" spans="2:22" ht="14.5" x14ac:dyDescent="0.35">
      <c r="B24" s="8">
        <v>18</v>
      </c>
      <c r="E24" s="14"/>
      <c r="F24" s="11"/>
      <c r="G24" s="14"/>
      <c r="H24" s="11"/>
      <c r="I24" s="11"/>
      <c r="J24" s="14"/>
      <c r="K24" s="11"/>
      <c r="L24" s="11"/>
      <c r="M24" s="11"/>
      <c r="N24" s="19"/>
    </row>
    <row r="25" spans="2:22" ht="14.5" x14ac:dyDescent="0.35">
      <c r="B25" s="8">
        <v>19</v>
      </c>
      <c r="E25" s="14"/>
      <c r="F25" s="11"/>
      <c r="G25" s="14"/>
      <c r="H25" s="11"/>
      <c r="I25" s="11"/>
      <c r="J25" s="14"/>
      <c r="K25" s="11"/>
      <c r="L25" s="11"/>
      <c r="M25" s="11"/>
      <c r="N25" s="19"/>
    </row>
    <row r="26" spans="2:22" ht="14.5" x14ac:dyDescent="0.35">
      <c r="B26" s="8">
        <v>20</v>
      </c>
      <c r="E26" s="14"/>
      <c r="F26" s="11"/>
      <c r="G26" s="14"/>
      <c r="H26" s="11"/>
      <c r="I26" s="11"/>
      <c r="J26" s="14"/>
      <c r="K26" s="11"/>
      <c r="L26" s="11"/>
      <c r="M26" s="11"/>
      <c r="N26" s="19"/>
    </row>
    <row r="27" spans="2:22" ht="14.5" x14ac:dyDescent="0.35">
      <c r="B27" s="8">
        <v>21</v>
      </c>
      <c r="E27" s="14"/>
      <c r="F27" s="11"/>
      <c r="G27" s="14"/>
      <c r="H27" s="11"/>
      <c r="I27" s="11"/>
      <c r="J27" s="14"/>
      <c r="K27" s="11"/>
      <c r="L27" s="11"/>
      <c r="M27" s="11"/>
      <c r="N27" s="19"/>
    </row>
    <row r="28" spans="2:22" ht="14.5" x14ac:dyDescent="0.35">
      <c r="B28" s="12">
        <v>22</v>
      </c>
      <c r="E28" s="14"/>
      <c r="F28" s="11"/>
      <c r="G28" s="14"/>
      <c r="H28" s="11"/>
      <c r="I28" s="11"/>
      <c r="J28" s="14"/>
      <c r="K28" s="11"/>
      <c r="L28" s="11"/>
      <c r="M28" s="11"/>
      <c r="N28" s="19"/>
    </row>
    <row r="29" spans="2:22" ht="14.5" x14ac:dyDescent="0.35">
      <c r="B29" s="8">
        <v>23</v>
      </c>
      <c r="E29" s="14"/>
      <c r="F29" s="11"/>
      <c r="G29" s="14"/>
      <c r="H29" s="11"/>
      <c r="I29" s="11"/>
      <c r="J29" s="14"/>
      <c r="K29" s="11"/>
      <c r="L29" s="11"/>
      <c r="M29" s="11"/>
      <c r="N29" s="19"/>
    </row>
    <row r="30" spans="2:22" ht="14.5" x14ac:dyDescent="0.35">
      <c r="B30" s="8">
        <v>24</v>
      </c>
      <c r="E30" s="14"/>
      <c r="F30" s="11"/>
      <c r="G30" s="14"/>
      <c r="H30" s="11"/>
      <c r="I30" s="11"/>
      <c r="J30" s="14"/>
      <c r="K30" s="11"/>
      <c r="L30" s="11"/>
      <c r="M30" s="11"/>
      <c r="N30" s="19"/>
    </row>
    <row r="31" spans="2:22" ht="14.5" x14ac:dyDescent="0.35">
      <c r="B31" s="8">
        <v>25</v>
      </c>
      <c r="E31" s="14"/>
      <c r="F31" s="11"/>
      <c r="G31" s="14"/>
      <c r="H31" s="11"/>
      <c r="I31" s="11"/>
      <c r="J31" s="14"/>
      <c r="K31" s="11"/>
      <c r="L31" s="11"/>
      <c r="M31" s="11"/>
      <c r="N31" s="19"/>
    </row>
    <row r="32" spans="2:22" ht="14.5" x14ac:dyDescent="0.35">
      <c r="B32" s="8">
        <v>26</v>
      </c>
      <c r="E32" s="14"/>
      <c r="F32" s="11"/>
      <c r="G32" s="14"/>
      <c r="H32" s="11"/>
      <c r="I32" s="11"/>
      <c r="J32" s="14"/>
      <c r="K32" s="11"/>
      <c r="L32" s="11"/>
      <c r="M32" s="11"/>
      <c r="N32" s="19"/>
    </row>
    <row r="33" spans="2:14" ht="14.5" x14ac:dyDescent="0.35">
      <c r="B33" s="8">
        <v>27</v>
      </c>
      <c r="E33" s="14"/>
      <c r="F33" s="11"/>
      <c r="G33" s="14"/>
      <c r="H33" s="11"/>
      <c r="I33" s="11"/>
      <c r="J33" s="14"/>
      <c r="K33" s="11"/>
      <c r="L33" s="11"/>
      <c r="M33" s="11"/>
      <c r="N33" s="19"/>
    </row>
    <row r="34" spans="2:14" ht="14.5" x14ac:dyDescent="0.35">
      <c r="B34" s="8">
        <v>28</v>
      </c>
      <c r="E34" s="14"/>
      <c r="F34" s="11"/>
      <c r="G34" s="14"/>
      <c r="H34" s="11"/>
      <c r="I34" s="11"/>
      <c r="J34" s="14"/>
      <c r="K34" s="11"/>
      <c r="L34" s="11"/>
      <c r="M34" s="11"/>
      <c r="N34" s="19"/>
    </row>
    <row r="35" spans="2:14" ht="14.5" x14ac:dyDescent="0.35">
      <c r="B35" s="8">
        <v>29</v>
      </c>
      <c r="E35" s="14"/>
      <c r="F35" s="11"/>
      <c r="G35" s="14"/>
      <c r="H35" s="11"/>
      <c r="I35" s="11"/>
      <c r="J35" s="14"/>
      <c r="K35" s="11"/>
      <c r="L35" s="11"/>
      <c r="M35" s="11"/>
      <c r="N35" s="19"/>
    </row>
    <row r="36" spans="2:14" ht="14.5" x14ac:dyDescent="0.35">
      <c r="B36" s="12">
        <v>30</v>
      </c>
      <c r="E36" s="14"/>
      <c r="F36" s="11"/>
      <c r="G36" s="14"/>
      <c r="H36" s="11"/>
      <c r="I36" s="11"/>
      <c r="J36" s="14"/>
      <c r="K36" s="11"/>
      <c r="L36" s="11"/>
      <c r="M36" s="11"/>
      <c r="N36" s="19"/>
    </row>
    <row r="37" spans="2:14" ht="14.5" x14ac:dyDescent="0.35">
      <c r="B37" s="8">
        <v>31</v>
      </c>
      <c r="E37" s="14"/>
      <c r="F37" s="11"/>
      <c r="G37" s="14"/>
      <c r="H37" s="11"/>
      <c r="I37" s="11"/>
      <c r="J37" s="14"/>
      <c r="K37" s="11"/>
      <c r="L37" s="11"/>
      <c r="M37" s="11"/>
      <c r="N37" s="19"/>
    </row>
    <row r="38" spans="2:14" ht="14.5" customHeight="1" thickBot="1" x14ac:dyDescent="0.4"/>
    <row r="39" spans="2:14" ht="19" customHeight="1" x14ac:dyDescent="0.35">
      <c r="B39" s="4" t="s">
        <v>21</v>
      </c>
      <c r="E39" s="18"/>
      <c r="F39" s="16"/>
      <c r="G39" s="18"/>
      <c r="H39" s="16"/>
      <c r="I39" s="16"/>
      <c r="J39" s="18"/>
      <c r="K39" s="16"/>
      <c r="L39" s="16"/>
      <c r="M39" s="16"/>
      <c r="N39" s="20"/>
    </row>
    <row r="40" spans="2:14" ht="7" customHeight="1" thickBot="1" x14ac:dyDescent="0.4">
      <c r="E40" s="17"/>
      <c r="G40" s="17"/>
      <c r="J40" s="17"/>
      <c r="N40" s="17"/>
    </row>
    <row r="41" spans="2:14" ht="19" customHeight="1" x14ac:dyDescent="0.35">
      <c r="B41" s="4" t="s">
        <v>22</v>
      </c>
      <c r="E41" s="18"/>
      <c r="F41" s="16"/>
      <c r="G41" s="18"/>
      <c r="H41" s="16"/>
      <c r="I41" s="16"/>
      <c r="J41" s="18"/>
      <c r="K41" s="16"/>
      <c r="L41" s="16"/>
      <c r="M41" s="16"/>
      <c r="N41" s="20"/>
    </row>
    <row r="42" spans="2:14" ht="7" customHeight="1" thickBot="1" x14ac:dyDescent="0.4">
      <c r="E42" s="17"/>
      <c r="G42" s="17"/>
      <c r="J42" s="17"/>
      <c r="N42" s="17"/>
    </row>
    <row r="43" spans="2:14" ht="19" customHeight="1" x14ac:dyDescent="0.35">
      <c r="B43" s="4" t="s">
        <v>23</v>
      </c>
      <c r="E43" s="18"/>
      <c r="F43" s="16"/>
      <c r="G43" s="18"/>
      <c r="H43" s="16"/>
      <c r="I43" s="16"/>
      <c r="J43" s="18"/>
      <c r="K43" s="16"/>
      <c r="L43" s="16"/>
      <c r="M43" s="16"/>
      <c r="N43" s="20"/>
    </row>
    <row r="44" spans="2:14" ht="7" customHeight="1" thickBot="1" x14ac:dyDescent="0.4">
      <c r="E44" s="17"/>
      <c r="G44" s="17"/>
      <c r="J44" s="17"/>
      <c r="N44" s="17"/>
    </row>
    <row r="45" spans="2:14" ht="26.5" customHeight="1" thickBot="1" x14ac:dyDescent="0.4">
      <c r="B45" s="13" t="s">
        <v>24</v>
      </c>
      <c r="E45" s="15">
        <f>E39+E41+E43</f>
        <v>0</v>
      </c>
      <c r="F45" s="15">
        <f t="shared" ref="F45:M45" si="0">F39+F41+F43</f>
        <v>0</v>
      </c>
      <c r="G45" s="15">
        <f t="shared" si="0"/>
        <v>0</v>
      </c>
      <c r="H45" s="15">
        <f t="shared" si="0"/>
        <v>0</v>
      </c>
      <c r="I45" s="15">
        <f t="shared" si="0"/>
        <v>0</v>
      </c>
      <c r="J45" s="15">
        <f t="shared" si="0"/>
        <v>0</v>
      </c>
      <c r="K45" s="15">
        <f t="shared" si="0"/>
        <v>0</v>
      </c>
      <c r="L45" s="15">
        <f t="shared" si="0"/>
        <v>0</v>
      </c>
      <c r="M45" s="15">
        <f t="shared" si="0"/>
        <v>0</v>
      </c>
      <c r="N45" s="21">
        <f>N39+N41+N43</f>
        <v>0</v>
      </c>
    </row>
    <row r="46" spans="2:14" ht="14.5" customHeight="1" x14ac:dyDescent="0.35"/>
    <row r="47" spans="2:14" ht="14.5" customHeight="1" x14ac:dyDescent="0.35">
      <c r="B47" t="s">
        <v>25</v>
      </c>
    </row>
  </sheetData>
  <mergeCells count="8">
    <mergeCell ref="N5:N6"/>
    <mergeCell ref="B1:H1"/>
    <mergeCell ref="I1:L1"/>
    <mergeCell ref="B3:H3"/>
    <mergeCell ref="I3:L3"/>
    <mergeCell ref="E5:F5"/>
    <mergeCell ref="G5:I5"/>
    <mergeCell ref="J5:M5"/>
  </mergeCells>
  <dataValidations count="1">
    <dataValidation type="list" allowBlank="1" showInputMessage="1" showErrorMessage="1" sqref="I3:M3" xr:uid="{18C591CD-4835-45FD-9F68-BD8F50C2BED4}">
      <formula1>$V$7:$V$18</formula1>
    </dataValidation>
  </dataValidations>
  <pageMargins left="0.51181102362204722" right="0.51181102362204722" top="0.39370078740157483" bottom="0.39370078740157483" header="0.31496062992125984" footer="0.31496062992125984"/>
  <pageSetup paperSize="9" scale="7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99EA0-BD74-41EF-98BC-6AF4E2052E37}">
  <sheetPr>
    <tabColor rgb="FFFFFF00"/>
    <pageSetUpPr fitToPage="1"/>
  </sheetPr>
  <dimension ref="A1:L46"/>
  <sheetViews>
    <sheetView showGridLines="0" zoomScale="130" zoomScaleNormal="130" workbookViewId="0">
      <selection activeCell="G9" sqref="G9"/>
    </sheetView>
  </sheetViews>
  <sheetFormatPr defaultColWidth="0" defaultRowHeight="14.5" zeroHeight="1" x14ac:dyDescent="0.35"/>
  <cols>
    <col min="1" max="1" width="16" customWidth="1"/>
    <col min="2" max="5" width="8.7265625" customWidth="1"/>
    <col min="6" max="6" width="15.54296875" customWidth="1"/>
    <col min="7" max="8" width="8.7265625" customWidth="1"/>
    <col min="9" max="9" width="15.7265625" customWidth="1"/>
    <col min="10" max="10" width="12.81640625" customWidth="1"/>
    <col min="11" max="11" width="8.7265625" customWidth="1"/>
    <col min="12" max="12" width="2.54296875" customWidth="1"/>
    <col min="13" max="16384" width="8.7265625" hidden="1"/>
  </cols>
  <sheetData>
    <row r="1" spans="1:11" ht="21" customHeight="1" thickBot="1" x14ac:dyDescent="0.4">
      <c r="A1" s="29" t="s">
        <v>48</v>
      </c>
      <c r="B1" s="103" t="s">
        <v>15</v>
      </c>
      <c r="C1" s="103"/>
      <c r="D1" s="103"/>
      <c r="E1" s="103"/>
      <c r="F1" s="103"/>
      <c r="G1" s="103"/>
      <c r="H1" s="103"/>
      <c r="I1" s="103"/>
      <c r="J1" s="103"/>
      <c r="K1" s="103"/>
    </row>
    <row r="2" spans="1:11" x14ac:dyDescent="0.35">
      <c r="A2" s="99" t="s">
        <v>29</v>
      </c>
      <c r="B2" s="93" t="s">
        <v>28</v>
      </c>
      <c r="C2" s="95"/>
      <c r="D2" s="94" t="s">
        <v>27</v>
      </c>
      <c r="E2" s="94"/>
      <c r="F2" s="95"/>
      <c r="G2" s="93" t="s">
        <v>3</v>
      </c>
      <c r="H2" s="94"/>
      <c r="I2" s="94"/>
      <c r="J2" s="95"/>
      <c r="K2" s="101" t="s">
        <v>26</v>
      </c>
    </row>
    <row r="3" spans="1:11" x14ac:dyDescent="0.35">
      <c r="A3" s="100"/>
      <c r="B3" s="23" t="s">
        <v>5</v>
      </c>
      <c r="C3" s="23" t="s">
        <v>6</v>
      </c>
      <c r="D3" s="23" t="s">
        <v>5</v>
      </c>
      <c r="E3" s="23" t="s">
        <v>6</v>
      </c>
      <c r="F3" s="23" t="s">
        <v>8</v>
      </c>
      <c r="G3" s="23" t="s">
        <v>7</v>
      </c>
      <c r="H3" s="23" t="s">
        <v>6</v>
      </c>
      <c r="I3" s="23" t="s">
        <v>8</v>
      </c>
      <c r="J3" s="23" t="s">
        <v>9</v>
      </c>
      <c r="K3" s="102"/>
    </row>
    <row r="4" spans="1:11" s="3" customFormat="1" ht="21" customHeight="1" x14ac:dyDescent="0.35">
      <c r="A4" s="27">
        <f>VENDEDOR1!I1</f>
        <v>0</v>
      </c>
      <c r="B4" s="79">
        <f>VENDEDOR1!E45</f>
        <v>0</v>
      </c>
      <c r="C4" s="25">
        <f>VENDEDOR1!F45</f>
        <v>0</v>
      </c>
      <c r="D4" s="79">
        <f>VENDEDOR1!G45</f>
        <v>0</v>
      </c>
      <c r="E4" s="25">
        <f>VENDEDOR1!H45</f>
        <v>0</v>
      </c>
      <c r="F4" s="25">
        <f>VENDEDOR1!I45</f>
        <v>0</v>
      </c>
      <c r="G4" s="79">
        <f>VENDEDOR1!J45</f>
        <v>0</v>
      </c>
      <c r="H4" s="25">
        <f>VENDEDOR1!K45</f>
        <v>0</v>
      </c>
      <c r="I4" s="25">
        <f>VENDEDOR1!L45</f>
        <v>0</v>
      </c>
      <c r="J4" s="25">
        <f>VENDEDOR1!M45</f>
        <v>0</v>
      </c>
      <c r="K4" s="31">
        <f>VENDEDOR1!N45</f>
        <v>0</v>
      </c>
    </row>
    <row r="5" spans="1:11" s="3" customFormat="1" ht="21" customHeight="1" x14ac:dyDescent="0.35">
      <c r="A5" s="27">
        <f>VENDEDOR2!I1</f>
        <v>0</v>
      </c>
      <c r="B5" s="79">
        <f>VENDEDOR2!E45</f>
        <v>0</v>
      </c>
      <c r="C5" s="25">
        <f>VENDEDOR2!F45</f>
        <v>0</v>
      </c>
      <c r="D5" s="79">
        <f>VENDEDOR2!G45</f>
        <v>0</v>
      </c>
      <c r="E5" s="25">
        <f>VENDEDOR2!H45</f>
        <v>0</v>
      </c>
      <c r="F5" s="25">
        <f>VENDEDOR2!I45</f>
        <v>0</v>
      </c>
      <c r="G5" s="79">
        <f>VENDEDOR2!J45</f>
        <v>0</v>
      </c>
      <c r="H5" s="25">
        <f>VENDEDOR2!K45</f>
        <v>0</v>
      </c>
      <c r="I5" s="25">
        <f>VENDEDOR2!L45</f>
        <v>0</v>
      </c>
      <c r="J5" s="25">
        <f>VENDEDOR2!M45</f>
        <v>0</v>
      </c>
      <c r="K5" s="31">
        <f>VENDEDOR2!N45</f>
        <v>0</v>
      </c>
    </row>
    <row r="6" spans="1:11" s="3" customFormat="1" ht="21" customHeight="1" x14ac:dyDescent="0.35">
      <c r="A6" s="27">
        <f>VENDEDOR3!I1</f>
        <v>0</v>
      </c>
      <c r="B6" s="79">
        <f>VENDEDOR3!E45</f>
        <v>0</v>
      </c>
      <c r="C6" s="25">
        <f>VENDEDOR3!F45</f>
        <v>0</v>
      </c>
      <c r="D6" s="79">
        <f>VENDEDOR3!G45</f>
        <v>0</v>
      </c>
      <c r="E6" s="25">
        <f>VENDEDOR3!H45</f>
        <v>0</v>
      </c>
      <c r="F6" s="25">
        <f>VENDEDOR3!I45</f>
        <v>0</v>
      </c>
      <c r="G6" s="79">
        <f>VENDEDOR3!J45</f>
        <v>0</v>
      </c>
      <c r="H6" s="25">
        <f>VENDEDOR3!K45</f>
        <v>0</v>
      </c>
      <c r="I6" s="25">
        <f>VENDEDOR3!L45</f>
        <v>0</v>
      </c>
      <c r="J6" s="25">
        <f>VENDEDOR3!M45</f>
        <v>0</v>
      </c>
      <c r="K6" s="31">
        <f>VENDEDOR3!N45</f>
        <v>0</v>
      </c>
    </row>
    <row r="7" spans="1:11" ht="21" customHeight="1" x14ac:dyDescent="0.35">
      <c r="A7" s="27">
        <f>VENDEDOR4!I1</f>
        <v>0</v>
      </c>
      <c r="B7" s="79">
        <f>VENDEDOR4!E45</f>
        <v>0</v>
      </c>
      <c r="C7" s="25">
        <f>VENDEDOR4!F45</f>
        <v>0</v>
      </c>
      <c r="D7" s="79">
        <f>VENDEDOR4!G45</f>
        <v>0</v>
      </c>
      <c r="E7" s="25">
        <f>VENDEDOR4!H45</f>
        <v>0</v>
      </c>
      <c r="F7" s="25">
        <f>VENDEDOR4!I45</f>
        <v>0</v>
      </c>
      <c r="G7" s="79">
        <f>VENDEDOR4!J45</f>
        <v>0</v>
      </c>
      <c r="H7" s="25">
        <f>VENDEDOR4!K45</f>
        <v>0</v>
      </c>
      <c r="I7" s="25">
        <f>VENDEDOR4!L45</f>
        <v>0</v>
      </c>
      <c r="J7" s="25">
        <f>VENDEDOR4!M45</f>
        <v>0</v>
      </c>
      <c r="K7" s="31">
        <f>VENDEDOR4!N45</f>
        <v>0</v>
      </c>
    </row>
    <row r="8" spans="1:11" ht="21" customHeight="1" x14ac:dyDescent="0.35">
      <c r="A8" s="27">
        <f>VENDEDOR5!I1</f>
        <v>0</v>
      </c>
      <c r="B8" s="79">
        <f>VENDEDOR5!E45</f>
        <v>0</v>
      </c>
      <c r="C8" s="25">
        <f>VENDEDOR5!F45</f>
        <v>0</v>
      </c>
      <c r="D8" s="79">
        <f>VENDEDOR5!G45</f>
        <v>0</v>
      </c>
      <c r="E8" s="25">
        <f>VENDEDOR5!H45</f>
        <v>0</v>
      </c>
      <c r="F8" s="25">
        <f>VENDEDOR5!I45</f>
        <v>0</v>
      </c>
      <c r="G8" s="79">
        <f>VENDEDOR5!J45</f>
        <v>0</v>
      </c>
      <c r="H8" s="25">
        <f>VENDEDOR5!K45</f>
        <v>0</v>
      </c>
      <c r="I8" s="25">
        <f>VENDEDOR5!L45</f>
        <v>0</v>
      </c>
      <c r="J8" s="25">
        <f>VENDEDOR5!M45</f>
        <v>0</v>
      </c>
      <c r="K8" s="31">
        <f>VENDEDOR5!N45</f>
        <v>0</v>
      </c>
    </row>
    <row r="9" spans="1:11" ht="21" customHeight="1" thickBot="1" x14ac:dyDescent="0.4">
      <c r="A9" s="27">
        <f>VENDEDOR6!I1</f>
        <v>0</v>
      </c>
      <c r="B9" s="79">
        <f>VENDEDOR6!E45</f>
        <v>0</v>
      </c>
      <c r="C9" s="25">
        <f>VENDEDOR6!F45</f>
        <v>0</v>
      </c>
      <c r="D9" s="79">
        <f>VENDEDOR6!G45</f>
        <v>0</v>
      </c>
      <c r="E9" s="25">
        <f>VENDEDOR6!H45</f>
        <v>0</v>
      </c>
      <c r="F9" s="25">
        <f>VENDEDOR6!I45</f>
        <v>0</v>
      </c>
      <c r="G9" s="79">
        <f>VENDEDOR6!J45</f>
        <v>0</v>
      </c>
      <c r="H9" s="25">
        <f>VENDEDOR6!K45</f>
        <v>0</v>
      </c>
      <c r="I9" s="25">
        <f>VENDEDOR6!L45</f>
        <v>0</v>
      </c>
      <c r="J9" s="25">
        <f>VENDEDOR6!M45</f>
        <v>0</v>
      </c>
      <c r="K9" s="31">
        <f>VENDEDOR6!N45</f>
        <v>0</v>
      </c>
    </row>
    <row r="10" spans="1:11" ht="21" customHeight="1" thickBot="1" x14ac:dyDescent="0.4">
      <c r="A10" s="24" t="s">
        <v>24</v>
      </c>
      <c r="B10" s="15">
        <f>SUM(B4:B9)</f>
        <v>0</v>
      </c>
      <c r="C10" s="15">
        <f t="shared" ref="C10:K10" si="0">SUM(C4:C9)</f>
        <v>0</v>
      </c>
      <c r="D10" s="15">
        <f t="shared" si="0"/>
        <v>0</v>
      </c>
      <c r="E10" s="15">
        <f t="shared" si="0"/>
        <v>0</v>
      </c>
      <c r="F10" s="15">
        <f t="shared" si="0"/>
        <v>0</v>
      </c>
      <c r="G10" s="15">
        <f t="shared" si="0"/>
        <v>0</v>
      </c>
      <c r="H10" s="15">
        <f t="shared" si="0"/>
        <v>0</v>
      </c>
      <c r="I10" s="15">
        <f t="shared" si="0"/>
        <v>0</v>
      </c>
      <c r="J10" s="15">
        <f t="shared" si="0"/>
        <v>0</v>
      </c>
      <c r="K10" s="26">
        <f t="shared" si="0"/>
        <v>0</v>
      </c>
    </row>
    <row r="11" spans="1:11" ht="15" thickBot="1" x14ac:dyDescent="0.4">
      <c r="C11" s="28"/>
      <c r="J11" s="22"/>
    </row>
    <row r="12" spans="1:11" ht="19" thickBot="1" x14ac:dyDescent="0.4">
      <c r="A12" s="29" t="s">
        <v>47</v>
      </c>
      <c r="B12" s="104" t="s">
        <v>46</v>
      </c>
      <c r="C12" s="104"/>
      <c r="D12" s="104"/>
      <c r="E12" s="104"/>
      <c r="F12" s="104"/>
      <c r="G12" s="104"/>
      <c r="H12" s="104"/>
      <c r="I12" s="104"/>
      <c r="J12" s="104"/>
      <c r="K12" s="104"/>
    </row>
    <row r="13" spans="1:11" x14ac:dyDescent="0.35">
      <c r="A13" s="99" t="s">
        <v>29</v>
      </c>
      <c r="B13" s="93" t="s">
        <v>28</v>
      </c>
      <c r="C13" s="95"/>
      <c r="D13" s="94" t="s">
        <v>27</v>
      </c>
      <c r="E13" s="94"/>
      <c r="F13" s="95"/>
      <c r="G13" s="93" t="s">
        <v>3</v>
      </c>
      <c r="H13" s="94"/>
      <c r="I13" s="94"/>
      <c r="J13" s="95"/>
      <c r="K13" s="101" t="s">
        <v>26</v>
      </c>
    </row>
    <row r="14" spans="1:11" x14ac:dyDescent="0.35">
      <c r="A14" s="100"/>
      <c r="B14" s="23" t="s">
        <v>5</v>
      </c>
      <c r="C14" s="23" t="s">
        <v>6</v>
      </c>
      <c r="D14" s="23" t="s">
        <v>5</v>
      </c>
      <c r="E14" s="23" t="s">
        <v>6</v>
      </c>
      <c r="F14" s="23" t="s">
        <v>8</v>
      </c>
      <c r="G14" s="23" t="s">
        <v>7</v>
      </c>
      <c r="H14" s="23" t="s">
        <v>6</v>
      </c>
      <c r="I14" s="23" t="s">
        <v>8</v>
      </c>
      <c r="J14" s="23" t="s">
        <v>9</v>
      </c>
      <c r="K14" s="102"/>
    </row>
    <row r="15" spans="1:11" ht="21" customHeight="1" x14ac:dyDescent="0.35">
      <c r="A15" s="27">
        <f t="shared" ref="A15:A20" si="1">A4</f>
        <v>0</v>
      </c>
      <c r="B15" s="79">
        <f>VLOOKUP($B$12,VENDEDOR1!$B$39:$N$44,4,0)</f>
        <v>0</v>
      </c>
      <c r="C15" s="25">
        <f>VLOOKUP($B$12,VENDEDOR1!$B$39:$N$44,5,0)</f>
        <v>0</v>
      </c>
      <c r="D15" s="79">
        <f>VLOOKUP($B$12,VENDEDOR1!$B$39:$N$44,6,0)</f>
        <v>0</v>
      </c>
      <c r="E15" s="25">
        <f>VLOOKUP($B$12,VENDEDOR1!$B$39:$N$44,7,0)</f>
        <v>0</v>
      </c>
      <c r="F15" s="25">
        <f>VLOOKUP($B$12,VENDEDOR1!$B$39:$N$44,8,0)</f>
        <v>0</v>
      </c>
      <c r="G15" s="79">
        <f>VLOOKUP($B$12,VENDEDOR1!$B$39:$N$44,9,0)</f>
        <v>0</v>
      </c>
      <c r="H15" s="25">
        <f>VLOOKUP($B$12,VENDEDOR1!$B$39:$N$44,10,0)</f>
        <v>0</v>
      </c>
      <c r="I15" s="25">
        <f>VLOOKUP($B$12,VENDEDOR1!$B$39:$N$44,11,0)</f>
        <v>0</v>
      </c>
      <c r="J15" s="25">
        <f>VLOOKUP($B$12,VENDEDOR1!$B$39:$N$45,12,0)</f>
        <v>0</v>
      </c>
      <c r="K15" s="31">
        <f>VLOOKUP($B$12,VENDEDOR1!$B$39:$N$44,13,0)</f>
        <v>0</v>
      </c>
    </row>
    <row r="16" spans="1:11" ht="21" customHeight="1" x14ac:dyDescent="0.35">
      <c r="A16" s="27">
        <f t="shared" si="1"/>
        <v>0</v>
      </c>
      <c r="B16" s="79">
        <f>VLOOKUP($B$12,VENDEDOR2!$B$39:$N$44,4,0)</f>
        <v>0</v>
      </c>
      <c r="C16" s="25">
        <f>VLOOKUP($B$12,VENDEDOR2!$B$39:$N$44,5,0)</f>
        <v>0</v>
      </c>
      <c r="D16" s="79">
        <f>VLOOKUP($B$12,VENDEDOR2!$B$39:$N$44,6,0)</f>
        <v>0</v>
      </c>
      <c r="E16" s="25">
        <f>VLOOKUP($B$12,VENDEDOR2!$B$39:$N$44,7,0)</f>
        <v>0</v>
      </c>
      <c r="F16" s="25">
        <f>VLOOKUP($B$12,VENDEDOR2!$B$39:$N$44,8,0)</f>
        <v>0</v>
      </c>
      <c r="G16" s="79">
        <f>VLOOKUP($B$12,VENDEDOR2!$B$39:$N$44,9,0)</f>
        <v>0</v>
      </c>
      <c r="H16" s="25">
        <f>VLOOKUP($B$12,VENDEDOR2!$B$39:$N$44,10,0)</f>
        <v>0</v>
      </c>
      <c r="I16" s="25">
        <f>VLOOKUP($B$12,VENDEDOR2!$B$39:$N$44,11,0)</f>
        <v>0</v>
      </c>
      <c r="J16" s="25">
        <f>VLOOKUP($B$12,VENDEDOR2!$B$39:$N$45,12,0)</f>
        <v>0</v>
      </c>
      <c r="K16" s="31">
        <f>VLOOKUP($B$12,VENDEDOR2!$B$39:$N$44,13,0)</f>
        <v>0</v>
      </c>
    </row>
    <row r="17" spans="1:11" ht="21" customHeight="1" x14ac:dyDescent="0.35">
      <c r="A17" s="27">
        <f t="shared" si="1"/>
        <v>0</v>
      </c>
      <c r="B17" s="79">
        <f>VLOOKUP($B$12,VENDEDOR3!$B$39:$N$44,4,0)</f>
        <v>0</v>
      </c>
      <c r="C17" s="25">
        <f>VLOOKUP($B$12,VENDEDOR3!$B$39:$N$44,5,0)</f>
        <v>0</v>
      </c>
      <c r="D17" s="79">
        <f>VLOOKUP($B$12,VENDEDOR3!$B$39:$N$44,6,0)</f>
        <v>0</v>
      </c>
      <c r="E17" s="25">
        <f>VLOOKUP($B$12,VENDEDOR3!$B$39:$N$44,7,0)</f>
        <v>0</v>
      </c>
      <c r="F17" s="25">
        <f>VLOOKUP($B$12,VENDEDOR3!$B$39:$N$44,8,0)</f>
        <v>0</v>
      </c>
      <c r="G17" s="79">
        <f>VLOOKUP($B$12,VENDEDOR3!$B$39:$N$44,9,0)</f>
        <v>0</v>
      </c>
      <c r="H17" s="25">
        <f>VLOOKUP($B$12,VENDEDOR3!$B$39:$N$44,10,0)</f>
        <v>0</v>
      </c>
      <c r="I17" s="25">
        <f>VLOOKUP($B$12,VENDEDOR3!$B$39:$N$44,11,0)</f>
        <v>0</v>
      </c>
      <c r="J17" s="25">
        <f>VLOOKUP($B$12,VENDEDOR3!$B$39:$N$45,12,0)</f>
        <v>0</v>
      </c>
      <c r="K17" s="31">
        <f>VLOOKUP($B$12,VENDEDOR3!$B$39:$N$44,13,0)</f>
        <v>0</v>
      </c>
    </row>
    <row r="18" spans="1:11" ht="21" customHeight="1" x14ac:dyDescent="0.35">
      <c r="A18" s="27">
        <f t="shared" si="1"/>
        <v>0</v>
      </c>
      <c r="B18" s="79">
        <f>VLOOKUP($B$12,VENDEDOR4!$B$39:$N$44,4,0)</f>
        <v>0</v>
      </c>
      <c r="C18" s="25">
        <f>VLOOKUP($B$12,VENDEDOR4!$B$39:$N$44,5,0)</f>
        <v>0</v>
      </c>
      <c r="D18" s="79">
        <f>VLOOKUP($B$12,VENDEDOR4!$B$39:$N$44,6,0)</f>
        <v>0</v>
      </c>
      <c r="E18" s="25">
        <f>VLOOKUP($B$12,VENDEDOR4!$B$39:$N$44,7,0)</f>
        <v>0</v>
      </c>
      <c r="F18" s="25">
        <f>VLOOKUP($B$12,VENDEDOR4!$B$39:$N$44,8,0)</f>
        <v>0</v>
      </c>
      <c r="G18" s="79">
        <f>VLOOKUP($B$12,VENDEDOR4!$B$39:$N$44,9,0)</f>
        <v>0</v>
      </c>
      <c r="H18" s="25">
        <f>VLOOKUP($B$12,VENDEDOR4!$B$39:$N$44,10,0)</f>
        <v>0</v>
      </c>
      <c r="I18" s="25">
        <f>VLOOKUP($B$12,VENDEDOR4!$B$39:$N$44,11,0)</f>
        <v>0</v>
      </c>
      <c r="J18" s="25">
        <f>VLOOKUP($B$12,VENDEDOR4!$B$39:$N$45,12,0)</f>
        <v>0</v>
      </c>
      <c r="K18" s="31">
        <f>VLOOKUP($B$12,VENDEDOR4!$B$39:$N$44,13,0)</f>
        <v>0</v>
      </c>
    </row>
    <row r="19" spans="1:11" ht="21" customHeight="1" x14ac:dyDescent="0.35">
      <c r="A19" s="27">
        <f t="shared" si="1"/>
        <v>0</v>
      </c>
      <c r="B19" s="79">
        <f>VLOOKUP($B$12,VENDEDOR5!$B$39:$N$44,4,0)</f>
        <v>0</v>
      </c>
      <c r="C19" s="25">
        <f>VLOOKUP($B$12,VENDEDOR5!$B$39:$N$44,5,0)</f>
        <v>0</v>
      </c>
      <c r="D19" s="79">
        <f>VLOOKUP($B$12,VENDEDOR5!$B$39:$N$44,6,0)</f>
        <v>0</v>
      </c>
      <c r="E19" s="25">
        <f>VLOOKUP($B$12,VENDEDOR5!$B$39:$N$44,7,0)</f>
        <v>0</v>
      </c>
      <c r="F19" s="25">
        <f>VLOOKUP($B$12,VENDEDOR5!$B$39:$N$44,8,0)</f>
        <v>0</v>
      </c>
      <c r="G19" s="79">
        <f>VLOOKUP($B$12,VENDEDOR5!$B$39:$N$44,9,0)</f>
        <v>0</v>
      </c>
      <c r="H19" s="25">
        <f>VLOOKUP($B$12,VENDEDOR5!$B$39:$N$44,10,0)</f>
        <v>0</v>
      </c>
      <c r="I19" s="25">
        <f>VLOOKUP($B$12,VENDEDOR5!$B$39:$N$44,11,0)</f>
        <v>0</v>
      </c>
      <c r="J19" s="25">
        <f>VLOOKUP($B$12,VENDEDOR5!$B$39:$N$45,12,0)</f>
        <v>0</v>
      </c>
      <c r="K19" s="31">
        <f>VLOOKUP($B$12,VENDEDOR5!$B$39:$N$44,13,0)</f>
        <v>0</v>
      </c>
    </row>
    <row r="20" spans="1:11" ht="21" customHeight="1" thickBot="1" x14ac:dyDescent="0.4">
      <c r="A20" s="27">
        <f t="shared" si="1"/>
        <v>0</v>
      </c>
      <c r="B20" s="79">
        <f>VLOOKUP($B$12,VENDEDOR6!$B$39:$N$44,4,0)</f>
        <v>0</v>
      </c>
      <c r="C20" s="25">
        <f>VLOOKUP($B$12,VENDEDOR6!$B$39:$N$44,5,0)</f>
        <v>0</v>
      </c>
      <c r="D20" s="79">
        <f>VLOOKUP($B$12,VENDEDOR6!$B$39:$N$44,6,0)</f>
        <v>0</v>
      </c>
      <c r="E20" s="25">
        <f>VLOOKUP($B$12,VENDEDOR6!$B$39:$N$44,7,0)</f>
        <v>0</v>
      </c>
      <c r="F20" s="25">
        <f>VLOOKUP($B$12,VENDEDOR6!$B$39:$N$44,8,0)</f>
        <v>0</v>
      </c>
      <c r="G20" s="79">
        <f>VLOOKUP($B$12,VENDEDOR6!$B$39:$N$44,9,0)</f>
        <v>0</v>
      </c>
      <c r="H20" s="25">
        <f>VLOOKUP($B$12,VENDEDOR6!$B$39:$N$44,10,0)</f>
        <v>0</v>
      </c>
      <c r="I20" s="25">
        <f>VLOOKUP($B$12,VENDEDOR6!$B$39:$N$44,11,0)</f>
        <v>0</v>
      </c>
      <c r="J20" s="25">
        <f>VLOOKUP($B$12,VENDEDOR6!$B$39:$N$45,12,0)</f>
        <v>0</v>
      </c>
      <c r="K20" s="31">
        <f>VLOOKUP($B$12,VENDEDOR6!$B$39:$N$44,13,0)</f>
        <v>0</v>
      </c>
    </row>
    <row r="21" spans="1:11" ht="22" customHeight="1" thickBot="1" x14ac:dyDescent="0.4">
      <c r="A21" s="24" t="s">
        <v>24</v>
      </c>
      <c r="B21" s="15">
        <f>SUM(B15:B20)</f>
        <v>0</v>
      </c>
      <c r="C21" s="15">
        <f t="shared" ref="C21:K21" si="2">SUM(C15:C20)</f>
        <v>0</v>
      </c>
      <c r="D21" s="15">
        <f t="shared" si="2"/>
        <v>0</v>
      </c>
      <c r="E21" s="15">
        <f t="shared" si="2"/>
        <v>0</v>
      </c>
      <c r="F21" s="15">
        <f t="shared" si="2"/>
        <v>0</v>
      </c>
      <c r="G21" s="15">
        <f t="shared" ref="G21" si="3">SUM(G15:G20)</f>
        <v>0</v>
      </c>
      <c r="H21" s="15">
        <f t="shared" ref="H21" si="4">SUM(H15:H20)</f>
        <v>0</v>
      </c>
      <c r="I21" s="15">
        <f t="shared" ref="I21" si="5">SUM(I15:I20)</f>
        <v>0</v>
      </c>
      <c r="J21" s="15">
        <f t="shared" ref="J21" si="6">SUM(J15:J20)</f>
        <v>0</v>
      </c>
      <c r="K21" s="26">
        <f t="shared" si="2"/>
        <v>0</v>
      </c>
    </row>
    <row r="22" spans="1:11" x14ac:dyDescent="0.35"/>
    <row r="23" spans="1:11" ht="15" thickBot="1" x14ac:dyDescent="0.4"/>
    <row r="24" spans="1:11" ht="19" thickBot="1" x14ac:dyDescent="0.4">
      <c r="A24" s="29" t="s">
        <v>30</v>
      </c>
      <c r="B24" s="96">
        <v>2</v>
      </c>
      <c r="C24" s="97"/>
      <c r="D24" s="97"/>
      <c r="E24" s="97"/>
      <c r="F24" s="97"/>
      <c r="G24" s="97"/>
      <c r="H24" s="97"/>
      <c r="I24" s="97"/>
      <c r="J24" s="97"/>
      <c r="K24" s="98"/>
    </row>
    <row r="25" spans="1:11" x14ac:dyDescent="0.35">
      <c r="A25" s="99" t="s">
        <v>29</v>
      </c>
      <c r="B25" s="93" t="s">
        <v>28</v>
      </c>
      <c r="C25" s="95"/>
      <c r="D25" s="94" t="s">
        <v>27</v>
      </c>
      <c r="E25" s="94"/>
      <c r="F25" s="95"/>
      <c r="G25" s="93" t="s">
        <v>3</v>
      </c>
      <c r="H25" s="94"/>
      <c r="I25" s="94"/>
      <c r="J25" s="95"/>
      <c r="K25" s="101" t="s">
        <v>26</v>
      </c>
    </row>
    <row r="26" spans="1:11" x14ac:dyDescent="0.35">
      <c r="A26" s="100"/>
      <c r="B26" s="23" t="s">
        <v>5</v>
      </c>
      <c r="C26" s="23" t="s">
        <v>6</v>
      </c>
      <c r="D26" s="23" t="s">
        <v>5</v>
      </c>
      <c r="E26" s="23" t="s">
        <v>6</v>
      </c>
      <c r="F26" s="23" t="s">
        <v>8</v>
      </c>
      <c r="G26" s="23" t="s">
        <v>7</v>
      </c>
      <c r="H26" s="23" t="s">
        <v>6</v>
      </c>
      <c r="I26" s="23" t="s">
        <v>8</v>
      </c>
      <c r="J26" s="23" t="s">
        <v>9</v>
      </c>
      <c r="K26" s="102"/>
    </row>
    <row r="27" spans="1:11" ht="21" customHeight="1" x14ac:dyDescent="0.35">
      <c r="A27" s="27">
        <f t="shared" ref="A27:A32" si="7">A15</f>
        <v>0</v>
      </c>
      <c r="B27" s="79">
        <f>VLOOKUP($B$24,VENDEDOR1!$B$7:$N$37,4,0)</f>
        <v>0</v>
      </c>
      <c r="C27" s="25">
        <f>VLOOKUP($B$24,VENDEDOR1!$B$7:$N$37,5,0)</f>
        <v>0</v>
      </c>
      <c r="D27" s="79">
        <f>VLOOKUP($B$24,VENDEDOR1!$B$7:$N$37,6,0)</f>
        <v>0</v>
      </c>
      <c r="E27" s="25">
        <f>VLOOKUP($B$24,VENDEDOR1!$B$7:$N$37,7,0)</f>
        <v>0</v>
      </c>
      <c r="F27" s="25">
        <f>VLOOKUP($B$24,VENDEDOR1!$B$7:$N$37,8,0)</f>
        <v>0</v>
      </c>
      <c r="G27" s="79">
        <f>VLOOKUP($B$24,VENDEDOR1!$B$7:$N$37,9,0)</f>
        <v>0</v>
      </c>
      <c r="H27" s="25">
        <f>VLOOKUP($B$24,VENDEDOR1!$B$7:$N$37,10,0)</f>
        <v>0</v>
      </c>
      <c r="I27" s="25">
        <f>VLOOKUP($B$24,VENDEDOR1!$B$7:$N$37,11,0)</f>
        <v>0</v>
      </c>
      <c r="J27" s="25">
        <f>VLOOKUP($B$24,VENDEDOR1!$B$7:$N$37,12,0)</f>
        <v>0</v>
      </c>
      <c r="K27" s="31">
        <f>VLOOKUP($B$24,VENDEDOR1!$B$7:$N$37,13,0)</f>
        <v>0</v>
      </c>
    </row>
    <row r="28" spans="1:11" ht="21" customHeight="1" x14ac:dyDescent="0.35">
      <c r="A28" s="27">
        <f t="shared" si="7"/>
        <v>0</v>
      </c>
      <c r="B28" s="79">
        <f>VLOOKUP($B$24,VENDEDOR2!$B$7:$N$37,4,0)</f>
        <v>0</v>
      </c>
      <c r="C28" s="25">
        <f>VLOOKUP($B$24,VENDEDOR2!$B$7:$N$37,5,0)</f>
        <v>0</v>
      </c>
      <c r="D28" s="79">
        <f>VLOOKUP($B$24,VENDEDOR2!$B$7:$N$37,6,0)</f>
        <v>0</v>
      </c>
      <c r="E28" s="25">
        <f>VLOOKUP($B$24,VENDEDOR2!$B$7:$N$37,7,0)</f>
        <v>0</v>
      </c>
      <c r="F28" s="25">
        <f>VLOOKUP($B$24,VENDEDOR2!$B$7:$N$37,8,0)</f>
        <v>0</v>
      </c>
      <c r="G28" s="79">
        <f>VLOOKUP($B$24,VENDEDOR2!$B$7:$N$37,9,0)</f>
        <v>0</v>
      </c>
      <c r="H28" s="25">
        <f>VLOOKUP($B$24,VENDEDOR2!$B$7:$N$37,10,0)</f>
        <v>0</v>
      </c>
      <c r="I28" s="25">
        <f>VLOOKUP($B$24,VENDEDOR2!$B$7:$N$37,11,0)</f>
        <v>0</v>
      </c>
      <c r="J28" s="25">
        <f>VLOOKUP($B$24,VENDEDOR2!$B$7:$N$37,12,0)</f>
        <v>0</v>
      </c>
      <c r="K28" s="31">
        <f>VLOOKUP($B$24,VENDEDOR2!$B$7:$N$37,13,0)</f>
        <v>0</v>
      </c>
    </row>
    <row r="29" spans="1:11" ht="21" customHeight="1" x14ac:dyDescent="0.35">
      <c r="A29" s="27">
        <f t="shared" si="7"/>
        <v>0</v>
      </c>
      <c r="B29" s="79">
        <f>VLOOKUP($B$24,VENDEDOR3!$B$7:$N$37,4,0)</f>
        <v>0</v>
      </c>
      <c r="C29" s="25">
        <f>VLOOKUP($B$24,VENDEDOR3!$B$7:$N$37,5,0)</f>
        <v>0</v>
      </c>
      <c r="D29" s="79">
        <f>VLOOKUP($B$24,VENDEDOR3!$B$7:$N$37,6,0)</f>
        <v>0</v>
      </c>
      <c r="E29" s="25">
        <f>VLOOKUP($B$24,VENDEDOR3!$B$7:$N$37,7,0)</f>
        <v>0</v>
      </c>
      <c r="F29" s="25">
        <f>VLOOKUP($B$24,VENDEDOR3!$B$7:$N$37,8,0)</f>
        <v>0</v>
      </c>
      <c r="G29" s="79">
        <f>VLOOKUP($B$24,VENDEDOR3!$B$7:$N$37,9,0)</f>
        <v>0</v>
      </c>
      <c r="H29" s="25">
        <f>VLOOKUP($B$24,VENDEDOR3!$B$7:$N$37,10,0)</f>
        <v>0</v>
      </c>
      <c r="I29" s="25">
        <f>VLOOKUP($B$24,VENDEDOR3!$B$7:$N$37,11,0)</f>
        <v>0</v>
      </c>
      <c r="J29" s="25">
        <f>VLOOKUP($B$24,VENDEDOR3!$B$7:$N$37,12,0)</f>
        <v>0</v>
      </c>
      <c r="K29" s="31">
        <f>VLOOKUP($B$24,VENDEDOR3!$B$7:$N$37,13,0)</f>
        <v>0</v>
      </c>
    </row>
    <row r="30" spans="1:11" ht="21" customHeight="1" x14ac:dyDescent="0.35">
      <c r="A30" s="27">
        <f t="shared" si="7"/>
        <v>0</v>
      </c>
      <c r="B30" s="79">
        <f>VLOOKUP($B$24,VENDEDOR4!$B$7:$N$37,4,0)</f>
        <v>0</v>
      </c>
      <c r="C30" s="25">
        <f>VLOOKUP($B$24,VENDEDOR4!$B$7:$N$37,5,0)</f>
        <v>0</v>
      </c>
      <c r="D30" s="79">
        <f>VLOOKUP($B$24,VENDEDOR4!$B$7:$N$37,6,0)</f>
        <v>0</v>
      </c>
      <c r="E30" s="25">
        <f>VLOOKUP($B$24,VENDEDOR4!$B$7:$N$37,7,0)</f>
        <v>0</v>
      </c>
      <c r="F30" s="25">
        <f>VLOOKUP($B$24,VENDEDOR4!$B$7:$N$37,8,0)</f>
        <v>0</v>
      </c>
      <c r="G30" s="79">
        <f>VLOOKUP($B$24,VENDEDOR4!$B$7:$N$37,9,0)</f>
        <v>0</v>
      </c>
      <c r="H30" s="25">
        <f>VLOOKUP($B$24,VENDEDOR4!$B$7:$N$37,10,0)</f>
        <v>0</v>
      </c>
      <c r="I30" s="25">
        <f>VLOOKUP($B$24,VENDEDOR4!$B$7:$N$37,11,0)</f>
        <v>0</v>
      </c>
      <c r="J30" s="25">
        <f>VLOOKUP($B$24,VENDEDOR4!$B$7:$N$37,12,0)</f>
        <v>0</v>
      </c>
      <c r="K30" s="31">
        <f>VLOOKUP($B$24,VENDEDOR4!$B$7:$N$37,13,0)</f>
        <v>0</v>
      </c>
    </row>
    <row r="31" spans="1:11" ht="21" customHeight="1" x14ac:dyDescent="0.35">
      <c r="A31" s="27">
        <f t="shared" si="7"/>
        <v>0</v>
      </c>
      <c r="B31" s="79">
        <f>VLOOKUP($B$24,VENDEDOR5!$B$7:$N$37,4,0)</f>
        <v>0</v>
      </c>
      <c r="C31" s="25">
        <f>VLOOKUP($B$24,VENDEDOR5!$B$7:$N$37,5,0)</f>
        <v>0</v>
      </c>
      <c r="D31" s="79">
        <f>VLOOKUP($B$24,VENDEDOR5!$B$7:$N$37,6,0)</f>
        <v>0</v>
      </c>
      <c r="E31" s="25">
        <f>VLOOKUP($B$24,VENDEDOR5!$B$7:$N$37,7,0)</f>
        <v>0</v>
      </c>
      <c r="F31" s="25">
        <f>VLOOKUP($B$24,VENDEDOR5!$B$7:$N$37,8,0)</f>
        <v>0</v>
      </c>
      <c r="G31" s="79">
        <f>VLOOKUP($B$24,VENDEDOR5!$B$7:$N$37,9,0)</f>
        <v>0</v>
      </c>
      <c r="H31" s="25">
        <f>VLOOKUP($B$24,VENDEDOR5!$B$7:$N$37,10,0)</f>
        <v>0</v>
      </c>
      <c r="I31" s="25">
        <f>VLOOKUP($B$24,VENDEDOR5!$B$7:$N$37,11,0)</f>
        <v>0</v>
      </c>
      <c r="J31" s="25">
        <f>VLOOKUP($B$24,VENDEDOR5!$B$7:$N$37,12,0)</f>
        <v>0</v>
      </c>
      <c r="K31" s="31">
        <f>VLOOKUP($B$24,VENDEDOR5!$B$7:$N$37,13,0)</f>
        <v>0</v>
      </c>
    </row>
    <row r="32" spans="1:11" ht="21" customHeight="1" thickBot="1" x14ac:dyDescent="0.4">
      <c r="A32" s="27">
        <f t="shared" si="7"/>
        <v>0</v>
      </c>
      <c r="B32" s="79">
        <f>VLOOKUP($B$24,VENDEDOR6!$B$7:$N$37,4,0)</f>
        <v>0</v>
      </c>
      <c r="C32" s="25">
        <f>VLOOKUP($B$24,VENDEDOR6!$B$7:$N$37,5,0)</f>
        <v>0</v>
      </c>
      <c r="D32" s="79">
        <f>VLOOKUP($B$24,VENDEDOR6!$B$7:$N$37,6,0)</f>
        <v>0</v>
      </c>
      <c r="E32" s="25">
        <f>VLOOKUP($B$24,VENDEDOR6!$B$7:$N$37,7,0)</f>
        <v>0</v>
      </c>
      <c r="F32" s="25">
        <f>VLOOKUP($B$24,VENDEDOR6!$B$7:$N$37,8,0)</f>
        <v>0</v>
      </c>
      <c r="G32" s="79">
        <f>VLOOKUP($B$24,VENDEDOR6!$B$7:$N$37,9,0)</f>
        <v>0</v>
      </c>
      <c r="H32" s="25">
        <f>VLOOKUP($B$24,VENDEDOR6!$B$7:$N$37,10,0)</f>
        <v>0</v>
      </c>
      <c r="I32" s="25">
        <f>VLOOKUP($B$24,VENDEDOR6!$B$7:$N$37,11,0)</f>
        <v>0</v>
      </c>
      <c r="J32" s="25">
        <f>VLOOKUP($B$24,VENDEDOR6!$B$7:$N$37,12,0)</f>
        <v>0</v>
      </c>
      <c r="K32" s="31">
        <f>VLOOKUP($B$24,VENDEDOR6!$B$7:$N$37,13,0)</f>
        <v>0</v>
      </c>
    </row>
    <row r="33" spans="1:11" ht="22.5" customHeight="1" thickBot="1" x14ac:dyDescent="0.4">
      <c r="A33" s="24" t="s">
        <v>24</v>
      </c>
      <c r="B33" s="15">
        <f>SUM(B27:B32)</f>
        <v>0</v>
      </c>
      <c r="C33" s="15">
        <f t="shared" ref="C33:K33" si="8">SUM(C27:C32)</f>
        <v>0</v>
      </c>
      <c r="D33" s="15">
        <f t="shared" si="8"/>
        <v>0</v>
      </c>
      <c r="E33" s="15">
        <f t="shared" si="8"/>
        <v>0</v>
      </c>
      <c r="F33" s="15">
        <f t="shared" si="8"/>
        <v>0</v>
      </c>
      <c r="G33" s="15">
        <f t="shared" ref="G33" si="9">SUM(G27:G32)</f>
        <v>0</v>
      </c>
      <c r="H33" s="15">
        <f t="shared" ref="H33" si="10">SUM(H27:H32)</f>
        <v>0</v>
      </c>
      <c r="I33" s="15">
        <f t="shared" ref="I33" si="11">SUM(I27:I32)</f>
        <v>0</v>
      </c>
      <c r="J33" s="15">
        <f t="shared" ref="J33" si="12">SUM(J27:J32)</f>
        <v>0</v>
      </c>
      <c r="K33" s="26">
        <f t="shared" si="8"/>
        <v>0</v>
      </c>
    </row>
    <row r="34" spans="1:11" x14ac:dyDescent="0.35">
      <c r="A34" s="51">
        <f ca="1">TODAY()</f>
        <v>45886</v>
      </c>
      <c r="B34" s="52"/>
      <c r="C34" s="52"/>
      <c r="D34" s="52"/>
      <c r="E34" s="52"/>
      <c r="F34" s="52"/>
      <c r="G34" s="52"/>
      <c r="H34" s="52"/>
      <c r="I34" s="52"/>
      <c r="J34" s="52"/>
      <c r="K34" s="53" t="e">
        <f>C33+E33+#REF!+H33</f>
        <v>#REF!</v>
      </c>
    </row>
    <row r="35" spans="1:11" ht="15" hidden="1" thickBot="1" x14ac:dyDescent="0.4"/>
    <row r="36" spans="1:11" ht="19" hidden="1" thickBot="1" x14ac:dyDescent="0.4">
      <c r="A36" s="29" t="s">
        <v>30</v>
      </c>
      <c r="B36" s="96">
        <f ca="1">DAY(A45)</f>
        <v>17</v>
      </c>
      <c r="C36" s="97"/>
      <c r="D36" s="97"/>
      <c r="E36" s="97"/>
      <c r="F36" s="97"/>
      <c r="G36" s="97"/>
      <c r="H36" s="97"/>
      <c r="I36" s="97"/>
      <c r="J36" s="97"/>
      <c r="K36" s="98"/>
    </row>
    <row r="37" spans="1:11" hidden="1" x14ac:dyDescent="0.35">
      <c r="A37" s="99" t="s">
        <v>29</v>
      </c>
      <c r="B37" s="93" t="s">
        <v>28</v>
      </c>
      <c r="C37" s="95"/>
      <c r="D37" s="94" t="s">
        <v>27</v>
      </c>
      <c r="E37" s="94"/>
      <c r="F37" s="95"/>
      <c r="G37" s="93" t="s">
        <v>3</v>
      </c>
      <c r="H37" s="94"/>
      <c r="I37" s="94"/>
      <c r="J37" s="95"/>
      <c r="K37" s="101" t="s">
        <v>26</v>
      </c>
    </row>
    <row r="38" spans="1:11" hidden="1" x14ac:dyDescent="0.35">
      <c r="A38" s="100"/>
      <c r="B38" s="23" t="s">
        <v>5</v>
      </c>
      <c r="C38" s="23" t="s">
        <v>6</v>
      </c>
      <c r="D38" s="23" t="s">
        <v>5</v>
      </c>
      <c r="E38" s="23" t="s">
        <v>6</v>
      </c>
      <c r="F38" s="23" t="s">
        <v>8</v>
      </c>
      <c r="G38" s="23" t="s">
        <v>7</v>
      </c>
      <c r="H38" s="23" t="s">
        <v>6</v>
      </c>
      <c r="I38" s="23" t="s">
        <v>8</v>
      </c>
      <c r="J38" s="23" t="s">
        <v>9</v>
      </c>
      <c r="K38" s="102"/>
    </row>
    <row r="39" spans="1:11" hidden="1" x14ac:dyDescent="0.35">
      <c r="A39" s="27">
        <f t="shared" ref="A39:A44" si="13">A27</f>
        <v>0</v>
      </c>
      <c r="B39" s="79">
        <f ca="1">VLOOKUP($B$36,VENDEDOR1!$B$7:$N$37,4,0)</f>
        <v>0</v>
      </c>
      <c r="C39" s="25">
        <f ca="1">VLOOKUP($B$36,VENDEDOR1!$B$7:$N$37,5,0)</f>
        <v>0</v>
      </c>
      <c r="D39" s="79">
        <f ca="1">VLOOKUP($B$36,VENDEDOR1!$B$7:$N$37,6,0)</f>
        <v>0</v>
      </c>
      <c r="E39" s="25">
        <f ca="1">VLOOKUP($B$36,VENDEDOR1!$B$7:$N$37,7,0)</f>
        <v>0</v>
      </c>
      <c r="F39" s="25">
        <f ca="1">VLOOKUP($B$36,VENDEDOR1!$B$7:$N$37,8,0)</f>
        <v>0</v>
      </c>
      <c r="G39" s="79">
        <f ca="1">VLOOKUP($B$36,VENDEDOR1!$B$7:$N$37,9,0)</f>
        <v>0</v>
      </c>
      <c r="H39" s="25">
        <f ca="1">VLOOKUP($B$36,VENDEDOR1!$B$7:$N$37,10,0)</f>
        <v>0</v>
      </c>
      <c r="I39" s="25">
        <f ca="1">VLOOKUP($B$36,VENDEDOR1!$B$7:$N$37,11,0)</f>
        <v>0</v>
      </c>
      <c r="J39" s="25">
        <f ca="1">VLOOKUP($B$36,VENDEDOR1!$B$7:$N$37,12,0)</f>
        <v>0</v>
      </c>
      <c r="K39" s="31">
        <f ca="1">I39+F39+C39</f>
        <v>0</v>
      </c>
    </row>
    <row r="40" spans="1:11" hidden="1" x14ac:dyDescent="0.35">
      <c r="A40" s="27">
        <f t="shared" si="13"/>
        <v>0</v>
      </c>
      <c r="B40" s="79">
        <f ca="1">VLOOKUP($B$36,VENDEDOR2!$B$7:$N$37,4,0)</f>
        <v>0</v>
      </c>
      <c r="C40" s="25">
        <f ca="1">VLOOKUP($B$36,VENDEDOR2!$B$7:$N$37,5,0)</f>
        <v>0</v>
      </c>
      <c r="D40" s="79">
        <f ca="1">VLOOKUP($B$36,VENDEDOR2!$B$7:$N$37,6,0)</f>
        <v>0</v>
      </c>
      <c r="E40" s="25">
        <f ca="1">VLOOKUP($B$36,VENDEDOR2!$B$7:$N$37,7,0)</f>
        <v>0</v>
      </c>
      <c r="F40" s="25">
        <f ca="1">VLOOKUP($B$36,VENDEDOR2!$B$7:$N$37,8,0)</f>
        <v>0</v>
      </c>
      <c r="G40" s="79">
        <f ca="1">VLOOKUP($B$36,VENDEDOR2!$B$7:$N$37,9,0)</f>
        <v>0</v>
      </c>
      <c r="H40" s="25">
        <f ca="1">VLOOKUP($B$36,VENDEDOR2!$B$7:$N$37,10,0)</f>
        <v>0</v>
      </c>
      <c r="I40" s="25">
        <f ca="1">VLOOKUP($B$36,VENDEDOR2!$B$7:$N$37,11,0)</f>
        <v>0</v>
      </c>
      <c r="J40" s="25">
        <f ca="1">VLOOKUP($B$36,VENDEDOR2!$B$7:$N$37,12,0)</f>
        <v>0</v>
      </c>
      <c r="K40" s="31">
        <f t="shared" ref="K40:K44" ca="1" si="14">I40+F40+C40</f>
        <v>0</v>
      </c>
    </row>
    <row r="41" spans="1:11" hidden="1" x14ac:dyDescent="0.35">
      <c r="A41" s="27">
        <f t="shared" si="13"/>
        <v>0</v>
      </c>
      <c r="B41" s="79">
        <f ca="1">VLOOKUP($B$36,VENDEDOR3!$B$7:$N$37,4,0)</f>
        <v>0</v>
      </c>
      <c r="C41" s="25">
        <f ca="1">VLOOKUP($B$36,VENDEDOR3!$B$7:$N$37,5,0)</f>
        <v>0</v>
      </c>
      <c r="D41" s="79">
        <f ca="1">VLOOKUP($B$36,VENDEDOR3!$B$7:$N$37,6,0)</f>
        <v>0</v>
      </c>
      <c r="E41" s="25">
        <f ca="1">VLOOKUP($B$36,VENDEDOR3!$B$7:$N$37,7,0)</f>
        <v>0</v>
      </c>
      <c r="F41" s="25">
        <f ca="1">VLOOKUP($B$36,VENDEDOR3!$B$7:$N$37,8,0)</f>
        <v>0</v>
      </c>
      <c r="G41" s="79">
        <f ca="1">VLOOKUP($B$36,VENDEDOR3!$B$7:$N$37,9,0)</f>
        <v>0</v>
      </c>
      <c r="H41" s="25">
        <f ca="1">VLOOKUP($B$36,VENDEDOR3!$B$7:$N$37,10,0)</f>
        <v>0</v>
      </c>
      <c r="I41" s="25">
        <f ca="1">VLOOKUP($B$36,VENDEDOR3!$B$7:$N$37,11,0)</f>
        <v>0</v>
      </c>
      <c r="J41" s="25">
        <f ca="1">VLOOKUP($B$36,VENDEDOR3!$B$7:$N$37,12,0)</f>
        <v>0</v>
      </c>
      <c r="K41" s="31">
        <f t="shared" ca="1" si="14"/>
        <v>0</v>
      </c>
    </row>
    <row r="42" spans="1:11" hidden="1" x14ac:dyDescent="0.35">
      <c r="A42" s="27">
        <f t="shared" si="13"/>
        <v>0</v>
      </c>
      <c r="B42" s="79">
        <f ca="1">VLOOKUP($B$36,VENDEDOR4!$B$7:$N$37,4,0)</f>
        <v>0</v>
      </c>
      <c r="C42" s="25">
        <f ca="1">VLOOKUP($B$36,VENDEDOR4!$B$7:$N$37,5,0)</f>
        <v>0</v>
      </c>
      <c r="D42" s="79">
        <f ca="1">VLOOKUP($B$36,VENDEDOR4!$B$7:$N$37,6,0)</f>
        <v>0</v>
      </c>
      <c r="E42" s="25">
        <f ca="1">VLOOKUP($B$36,VENDEDOR4!$B$7:$N$37,7,0)</f>
        <v>0</v>
      </c>
      <c r="F42" s="25">
        <f ca="1">VLOOKUP($B$36,VENDEDOR4!$B$7:$N$37,8,0)</f>
        <v>0</v>
      </c>
      <c r="G42" s="79">
        <f ca="1">VLOOKUP($B$36,VENDEDOR4!$B$7:$N$37,9,0)</f>
        <v>0</v>
      </c>
      <c r="H42" s="25">
        <f ca="1">VLOOKUP($B$36,VENDEDOR4!$B$7:$N$37,10,0)</f>
        <v>0</v>
      </c>
      <c r="I42" s="25">
        <f ca="1">VLOOKUP($B$36,VENDEDOR4!$B$7:$N$37,11,0)</f>
        <v>0</v>
      </c>
      <c r="J42" s="25">
        <f ca="1">VLOOKUP($B$36,VENDEDOR4!$B$7:$N$37,12,0)</f>
        <v>0</v>
      </c>
      <c r="K42" s="31">
        <f t="shared" ca="1" si="14"/>
        <v>0</v>
      </c>
    </row>
    <row r="43" spans="1:11" hidden="1" x14ac:dyDescent="0.35">
      <c r="A43" s="27">
        <f t="shared" si="13"/>
        <v>0</v>
      </c>
      <c r="B43" s="79">
        <f ca="1">VLOOKUP($B$36,VENDEDOR5!$B$7:$N$37,4,0)</f>
        <v>0</v>
      </c>
      <c r="C43" s="25">
        <f ca="1">VLOOKUP($B$36,VENDEDOR5!$B$7:$N$37,5,0)</f>
        <v>0</v>
      </c>
      <c r="D43" s="79">
        <f ca="1">VLOOKUP($B$36,VENDEDOR5!$B$7:$N$37,6,0)</f>
        <v>0</v>
      </c>
      <c r="E43" s="25">
        <f ca="1">VLOOKUP($B$36,VENDEDOR5!$B$7:$N$37,7,0)</f>
        <v>0</v>
      </c>
      <c r="F43" s="25">
        <f ca="1">VLOOKUP($B$36,VENDEDOR5!$B$7:$N$37,8,0)</f>
        <v>0</v>
      </c>
      <c r="G43" s="79">
        <f ca="1">VLOOKUP($B$36,VENDEDOR5!$B$7:$N$37,9,0)</f>
        <v>0</v>
      </c>
      <c r="H43" s="25">
        <f ca="1">VLOOKUP($B$36,VENDEDOR5!$B$7:$N$37,10,0)</f>
        <v>0</v>
      </c>
      <c r="I43" s="25">
        <f ca="1">VLOOKUP($B$36,VENDEDOR5!$B$7:$N$37,11,0)</f>
        <v>0</v>
      </c>
      <c r="J43" s="25">
        <f ca="1">VLOOKUP($B$36,VENDEDOR5!$B$7:$N$37,12,0)</f>
        <v>0</v>
      </c>
      <c r="K43" s="31">
        <f t="shared" ca="1" si="14"/>
        <v>0</v>
      </c>
    </row>
    <row r="44" spans="1:11" ht="15" hidden="1" thickBot="1" x14ac:dyDescent="0.4">
      <c r="A44" s="27">
        <f t="shared" si="13"/>
        <v>0</v>
      </c>
      <c r="B44" s="79">
        <f ca="1">VLOOKUP($B$36,VENDEDOR6!$B$7:$N$37,4,0)</f>
        <v>0</v>
      </c>
      <c r="C44" s="25">
        <f ca="1">VLOOKUP($B$36,VENDEDOR6!$B$7:$N$37,5,0)</f>
        <v>0</v>
      </c>
      <c r="D44" s="79">
        <f ca="1">VLOOKUP($B$36,VENDEDOR6!$B$7:$N$37,6,0)</f>
        <v>0</v>
      </c>
      <c r="E44" s="25">
        <f ca="1">VLOOKUP($B$36,VENDEDOR6!$B$7:$N$37,7,0)</f>
        <v>0</v>
      </c>
      <c r="F44" s="25">
        <f ca="1">VLOOKUP($B$36,VENDEDOR6!$B$7:$N$37,8,0)</f>
        <v>0</v>
      </c>
      <c r="G44" s="79">
        <f ca="1">VLOOKUP($B$36,VENDEDOR6!$B$7:$N$37,9,0)</f>
        <v>0</v>
      </c>
      <c r="H44" s="25">
        <f ca="1">VLOOKUP($B$36,VENDEDOR6!$B$7:$N$37,10,0)</f>
        <v>0</v>
      </c>
      <c r="I44" s="25">
        <f ca="1">VLOOKUP($B$36,VENDEDOR6!$B$7:$N$37,11,0)</f>
        <v>0</v>
      </c>
      <c r="J44" s="25">
        <f ca="1">VLOOKUP($B$36,VENDEDOR6!$B$7:$N$37,12,0)</f>
        <v>0</v>
      </c>
      <c r="K44" s="31">
        <f t="shared" ca="1" si="14"/>
        <v>0</v>
      </c>
    </row>
    <row r="45" spans="1:11" ht="15" hidden="1" thickBot="1" x14ac:dyDescent="0.4">
      <c r="A45" s="83">
        <f ca="1">TODAY()</f>
        <v>45886</v>
      </c>
      <c r="B45" s="15">
        <f ca="1">SUM(B39:B44)</f>
        <v>0</v>
      </c>
      <c r="C45" s="15">
        <f t="shared" ref="C45:J45" ca="1" si="15">SUM(C39:C44)</f>
        <v>0</v>
      </c>
      <c r="D45" s="15">
        <f t="shared" ca="1" si="15"/>
        <v>0</v>
      </c>
      <c r="E45" s="15">
        <f t="shared" ca="1" si="15"/>
        <v>0</v>
      </c>
      <c r="F45" s="15">
        <f t="shared" ca="1" si="15"/>
        <v>0</v>
      </c>
      <c r="G45" s="15">
        <f t="shared" ca="1" si="15"/>
        <v>0</v>
      </c>
      <c r="H45" s="15">
        <f t="shared" ca="1" si="15"/>
        <v>0</v>
      </c>
      <c r="I45" s="15">
        <f t="shared" ca="1" si="15"/>
        <v>0</v>
      </c>
      <c r="J45" s="15">
        <f t="shared" ca="1" si="15"/>
        <v>0</v>
      </c>
      <c r="K45" s="26">
        <f ca="1">SUM(K39:K44)</f>
        <v>0</v>
      </c>
    </row>
    <row r="46" spans="1:11" hidden="1" x14ac:dyDescent="0.35">
      <c r="A46" s="81"/>
      <c r="B46" s="82"/>
    </row>
  </sheetData>
  <sheetProtection sheet="1" objects="1" scenarios="1"/>
  <mergeCells count="24">
    <mergeCell ref="B1:K1"/>
    <mergeCell ref="B24:K24"/>
    <mergeCell ref="A25:A26"/>
    <mergeCell ref="B25:C25"/>
    <mergeCell ref="D25:F25"/>
    <mergeCell ref="K25:K26"/>
    <mergeCell ref="G25:J25"/>
    <mergeCell ref="A2:A3"/>
    <mergeCell ref="B12:K12"/>
    <mergeCell ref="A13:A14"/>
    <mergeCell ref="B13:C13"/>
    <mergeCell ref="D13:F13"/>
    <mergeCell ref="K13:K14"/>
    <mergeCell ref="B2:C2"/>
    <mergeCell ref="D2:F2"/>
    <mergeCell ref="K2:K3"/>
    <mergeCell ref="G2:J2"/>
    <mergeCell ref="G13:J13"/>
    <mergeCell ref="B36:K36"/>
    <mergeCell ref="A37:A38"/>
    <mergeCell ref="B37:C37"/>
    <mergeCell ref="D37:F37"/>
    <mergeCell ref="G37:J37"/>
    <mergeCell ref="K37:K38"/>
  </mergeCells>
  <dataValidations count="2">
    <dataValidation type="list" allowBlank="1" showInputMessage="1" showErrorMessage="1" sqref="B1" xr:uid="{D7997A79-5335-444F-8608-EBD9FD2D08A9}">
      <formula1>"JANEIRO,FEVEREIRO,MARÇO,ABRIL,MAIO,JUNHO,JULHO,AGOSTO,SETEMBRO,OUTUBRO,NOVEMBRO,DEZEMBRO"</formula1>
    </dataValidation>
    <dataValidation type="list" allowBlank="1" showInputMessage="1" showErrorMessage="1" sqref="B12:K12" xr:uid="{481DCC76-C29C-4156-B66D-4FCD8D6CD5FE}">
      <formula1>"DEZENA 1,DEZENA 2,DEZENA 3"</formula1>
    </dataValidation>
  </dataValidations>
  <printOptions horizontalCentered="1"/>
  <pageMargins left="0.51181102362204722" right="0.51181102362204722" top="0.78740157480314965" bottom="0.78740157480314965" header="0.31496062992125984" footer="0.31496062992125984"/>
  <pageSetup paperSize="9" scale="76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C58A0C0-DA6B-4E36-807D-4B444BBC6691}">
          <x14:formula1>
            <xm:f>VENDEDOR1!$B$7:$B$37</xm:f>
          </x14:formula1>
          <xm:sqref>B24:K24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8396B-9F84-4583-AD11-F1D4224D9AF3}">
  <sheetPr>
    <pageSetUpPr fitToPage="1"/>
  </sheetPr>
  <dimension ref="A1:Z47"/>
  <sheetViews>
    <sheetView showGridLines="0" tabSelected="1" zoomScaleNormal="100" workbookViewId="0">
      <pane xSplit="2" ySplit="6" topLeftCell="C7" activePane="bottomRight" state="frozen"/>
      <selection activeCell="B1" sqref="B1:K1"/>
      <selection pane="topRight" activeCell="B1" sqref="B1:K1"/>
      <selection pane="bottomLeft" activeCell="B1" sqref="B1:K1"/>
      <selection pane="bottomRight" activeCell="F6" sqref="F6"/>
    </sheetView>
  </sheetViews>
  <sheetFormatPr defaultColWidth="0" defaultRowHeight="0" customHeight="1" zeroHeight="1" x14ac:dyDescent="0.35"/>
  <cols>
    <col min="1" max="1" width="1.81640625" customWidth="1"/>
    <col min="2" max="2" width="11.54296875" customWidth="1"/>
    <col min="3" max="4" width="1.453125" customWidth="1"/>
    <col min="5" max="8" width="11.90625" customWidth="1"/>
    <col min="9" max="9" width="15" customWidth="1"/>
    <col min="10" max="11" width="11.90625" customWidth="1"/>
    <col min="12" max="12" width="13" customWidth="1"/>
    <col min="13" max="13" width="11.90625" customWidth="1"/>
    <col min="14" max="14" width="13.54296875" customWidth="1"/>
    <col min="15" max="15" width="2.26953125" customWidth="1"/>
    <col min="16" max="26" width="0" hidden="1" customWidth="1"/>
    <col min="27" max="16384" width="8.7265625" hidden="1"/>
  </cols>
  <sheetData>
    <row r="1" spans="2:22" ht="32.15" customHeight="1" x14ac:dyDescent="0.35">
      <c r="B1" s="87" t="s">
        <v>0</v>
      </c>
      <c r="C1" s="87"/>
      <c r="D1" s="87"/>
      <c r="E1" s="87"/>
      <c r="F1" s="87"/>
      <c r="G1" s="87"/>
      <c r="H1" s="87"/>
      <c r="I1" s="110"/>
      <c r="J1" s="110"/>
      <c r="K1" s="110"/>
      <c r="L1" s="110"/>
      <c r="M1" s="110"/>
      <c r="N1" s="110"/>
    </row>
    <row r="2" spans="2:22" ht="10.5" customHeight="1" x14ac:dyDescent="0.35">
      <c r="B2" s="1"/>
      <c r="E2" s="2"/>
      <c r="F2" s="2"/>
      <c r="G2" s="2"/>
      <c r="H2" s="2"/>
      <c r="I2" s="2"/>
    </row>
    <row r="3" spans="2:22" ht="32.15" customHeight="1" x14ac:dyDescent="0.35">
      <c r="B3" s="87" t="s">
        <v>1</v>
      </c>
      <c r="C3" s="87"/>
      <c r="D3" s="87"/>
      <c r="E3" s="87"/>
      <c r="F3" s="87"/>
      <c r="G3" s="87"/>
      <c r="H3" s="87"/>
      <c r="I3" s="110"/>
      <c r="J3" s="110"/>
      <c r="K3" s="110"/>
      <c r="L3" s="110"/>
      <c r="M3" s="110"/>
      <c r="N3" s="110"/>
    </row>
    <row r="4" spans="2:22" ht="10.5" customHeight="1" thickBot="1" x14ac:dyDescent="0.4">
      <c r="B4" s="3"/>
    </row>
    <row r="5" spans="2:22" ht="13.5" customHeight="1" x14ac:dyDescent="0.35">
      <c r="B5" s="111" t="s">
        <v>4</v>
      </c>
      <c r="E5" s="107" t="s">
        <v>28</v>
      </c>
      <c r="F5" s="108"/>
      <c r="G5" s="107" t="s">
        <v>27</v>
      </c>
      <c r="H5" s="109"/>
      <c r="I5" s="108"/>
      <c r="J5" s="107" t="s">
        <v>3</v>
      </c>
      <c r="K5" s="109"/>
      <c r="L5" s="109"/>
      <c r="M5" s="108"/>
      <c r="N5" s="105" t="s">
        <v>26</v>
      </c>
    </row>
    <row r="6" spans="2:22" ht="27" customHeight="1" thickBot="1" x14ac:dyDescent="0.4">
      <c r="B6" s="112"/>
      <c r="C6" s="5"/>
      <c r="D6" s="5"/>
      <c r="E6" s="60" t="s">
        <v>5</v>
      </c>
      <c r="F6" s="61" t="s">
        <v>6</v>
      </c>
      <c r="G6" s="60" t="s">
        <v>5</v>
      </c>
      <c r="H6" s="59" t="s">
        <v>51</v>
      </c>
      <c r="I6" s="61" t="s">
        <v>8</v>
      </c>
      <c r="J6" s="60" t="s">
        <v>7</v>
      </c>
      <c r="K6" s="59" t="s">
        <v>6</v>
      </c>
      <c r="L6" s="59" t="s">
        <v>50</v>
      </c>
      <c r="M6" s="61" t="s">
        <v>9</v>
      </c>
      <c r="N6" s="106"/>
    </row>
    <row r="7" spans="2:22" ht="14.5" x14ac:dyDescent="0.35">
      <c r="B7" s="74">
        <v>1</v>
      </c>
      <c r="C7" s="9"/>
      <c r="D7" s="9"/>
      <c r="E7" s="62"/>
      <c r="F7" s="63"/>
      <c r="G7" s="62"/>
      <c r="H7" s="54"/>
      <c r="I7" s="63"/>
      <c r="J7" s="62"/>
      <c r="K7" s="54"/>
      <c r="L7" s="54"/>
      <c r="M7" s="63"/>
      <c r="N7" s="71">
        <f>G7+E7+J7</f>
        <v>0</v>
      </c>
      <c r="V7" t="s">
        <v>10</v>
      </c>
    </row>
    <row r="8" spans="2:22" ht="14.5" x14ac:dyDescent="0.35">
      <c r="B8" s="75">
        <v>2</v>
      </c>
      <c r="C8" s="9"/>
      <c r="D8" s="9"/>
      <c r="E8" s="62"/>
      <c r="F8" s="63"/>
      <c r="G8" s="62"/>
      <c r="H8" s="54"/>
      <c r="I8" s="63"/>
      <c r="J8" s="62"/>
      <c r="K8" s="54"/>
      <c r="L8" s="54"/>
      <c r="M8" s="63"/>
      <c r="N8" s="71">
        <f>G8+E8+J8</f>
        <v>0</v>
      </c>
      <c r="V8" t="s">
        <v>11</v>
      </c>
    </row>
    <row r="9" spans="2:22" ht="14.5" x14ac:dyDescent="0.35">
      <c r="B9" s="75">
        <v>3</v>
      </c>
      <c r="C9" s="9"/>
      <c r="D9" s="9"/>
      <c r="E9" s="62"/>
      <c r="F9" s="63"/>
      <c r="G9" s="62"/>
      <c r="H9" s="54"/>
      <c r="I9" s="63"/>
      <c r="J9" s="62"/>
      <c r="K9" s="54"/>
      <c r="L9" s="54"/>
      <c r="M9" s="63"/>
      <c r="N9" s="71">
        <f>G9+E9+J9</f>
        <v>0</v>
      </c>
      <c r="V9" t="s">
        <v>2</v>
      </c>
    </row>
    <row r="10" spans="2:22" ht="14.5" x14ac:dyDescent="0.35">
      <c r="B10" s="75">
        <v>4</v>
      </c>
      <c r="C10" s="9"/>
      <c r="D10" s="9"/>
      <c r="E10" s="62"/>
      <c r="F10" s="63"/>
      <c r="G10" s="62"/>
      <c r="H10" s="54"/>
      <c r="I10" s="63"/>
      <c r="J10" s="62"/>
      <c r="K10" s="54"/>
      <c r="L10" s="54"/>
      <c r="M10" s="63"/>
      <c r="N10" s="71">
        <f t="shared" ref="N10:N37" si="0">G10+E10+J10</f>
        <v>0</v>
      </c>
      <c r="V10" t="s">
        <v>12</v>
      </c>
    </row>
    <row r="11" spans="2:22" ht="14.5" x14ac:dyDescent="0.35">
      <c r="B11" s="75">
        <v>5</v>
      </c>
      <c r="C11" s="9"/>
      <c r="D11" s="9"/>
      <c r="E11" s="62"/>
      <c r="F11" s="63"/>
      <c r="G11" s="62"/>
      <c r="H11" s="54"/>
      <c r="I11" s="63"/>
      <c r="J11" s="62"/>
      <c r="K11" s="54"/>
      <c r="L11" s="54"/>
      <c r="M11" s="63"/>
      <c r="N11" s="71">
        <f t="shared" si="0"/>
        <v>0</v>
      </c>
      <c r="V11" t="s">
        <v>13</v>
      </c>
    </row>
    <row r="12" spans="2:22" ht="14.5" x14ac:dyDescent="0.35">
      <c r="B12" s="76">
        <v>6</v>
      </c>
      <c r="C12" s="9"/>
      <c r="D12" s="9"/>
      <c r="E12" s="62"/>
      <c r="F12" s="63"/>
      <c r="G12" s="62"/>
      <c r="H12" s="54"/>
      <c r="I12" s="63"/>
      <c r="J12" s="62"/>
      <c r="K12" s="54"/>
      <c r="L12" s="54"/>
      <c r="M12" s="63"/>
      <c r="N12" s="71">
        <f t="shared" si="0"/>
        <v>0</v>
      </c>
      <c r="V12" t="s">
        <v>14</v>
      </c>
    </row>
    <row r="13" spans="2:22" ht="14.5" x14ac:dyDescent="0.35">
      <c r="B13" s="75">
        <v>7</v>
      </c>
      <c r="C13" s="9"/>
      <c r="D13" s="9"/>
      <c r="E13" s="62"/>
      <c r="F13" s="63"/>
      <c r="G13" s="62"/>
      <c r="H13" s="54"/>
      <c r="I13" s="63"/>
      <c r="J13" s="62"/>
      <c r="K13" s="54"/>
      <c r="L13" s="54"/>
      <c r="M13" s="63"/>
      <c r="N13" s="71">
        <f t="shared" si="0"/>
        <v>0</v>
      </c>
      <c r="V13" t="s">
        <v>15</v>
      </c>
    </row>
    <row r="14" spans="2:22" ht="14.5" x14ac:dyDescent="0.35">
      <c r="B14" s="75">
        <v>8</v>
      </c>
      <c r="E14" s="62"/>
      <c r="F14" s="63"/>
      <c r="G14" s="62"/>
      <c r="H14" s="54"/>
      <c r="I14" s="63"/>
      <c r="J14" s="62"/>
      <c r="K14" s="54"/>
      <c r="L14" s="54"/>
      <c r="M14" s="63"/>
      <c r="N14" s="71">
        <f t="shared" si="0"/>
        <v>0</v>
      </c>
      <c r="V14" t="s">
        <v>16</v>
      </c>
    </row>
    <row r="15" spans="2:22" ht="14.5" x14ac:dyDescent="0.35">
      <c r="B15" s="75">
        <v>9</v>
      </c>
      <c r="E15" s="62"/>
      <c r="F15" s="63"/>
      <c r="G15" s="62"/>
      <c r="H15" s="54"/>
      <c r="I15" s="63"/>
      <c r="J15" s="62"/>
      <c r="K15" s="54"/>
      <c r="L15" s="54"/>
      <c r="M15" s="63"/>
      <c r="N15" s="71">
        <f t="shared" si="0"/>
        <v>0</v>
      </c>
      <c r="V15" t="s">
        <v>17</v>
      </c>
    </row>
    <row r="16" spans="2:22" ht="14.5" x14ac:dyDescent="0.35">
      <c r="B16" s="75">
        <v>10</v>
      </c>
      <c r="E16" s="62"/>
      <c r="F16" s="63"/>
      <c r="G16" s="62"/>
      <c r="H16" s="54"/>
      <c r="I16" s="63"/>
      <c r="J16" s="62"/>
      <c r="K16" s="54"/>
      <c r="L16" s="54"/>
      <c r="M16" s="63"/>
      <c r="N16" s="71">
        <f t="shared" si="0"/>
        <v>0</v>
      </c>
      <c r="V16" t="s">
        <v>18</v>
      </c>
    </row>
    <row r="17" spans="2:22" ht="14.5" x14ac:dyDescent="0.35">
      <c r="B17" s="75">
        <v>11</v>
      </c>
      <c r="E17" s="62"/>
      <c r="F17" s="63"/>
      <c r="G17" s="62"/>
      <c r="H17" s="54"/>
      <c r="I17" s="63"/>
      <c r="J17" s="62"/>
      <c r="K17" s="54"/>
      <c r="L17" s="54"/>
      <c r="M17" s="63"/>
      <c r="N17" s="71">
        <f t="shared" si="0"/>
        <v>0</v>
      </c>
      <c r="V17" t="s">
        <v>19</v>
      </c>
    </row>
    <row r="18" spans="2:22" ht="14.5" x14ac:dyDescent="0.35">
      <c r="B18" s="75">
        <v>12</v>
      </c>
      <c r="E18" s="62"/>
      <c r="F18" s="63"/>
      <c r="G18" s="62"/>
      <c r="H18" s="54"/>
      <c r="I18" s="63"/>
      <c r="J18" s="62"/>
      <c r="K18" s="54"/>
      <c r="L18" s="54"/>
      <c r="M18" s="63"/>
      <c r="N18" s="71">
        <f t="shared" si="0"/>
        <v>0</v>
      </c>
      <c r="V18" t="s">
        <v>20</v>
      </c>
    </row>
    <row r="19" spans="2:22" ht="14.5" x14ac:dyDescent="0.35">
      <c r="B19" s="75">
        <v>13</v>
      </c>
      <c r="E19" s="62"/>
      <c r="F19" s="63"/>
      <c r="G19" s="62"/>
      <c r="H19" s="54"/>
      <c r="I19" s="63"/>
      <c r="J19" s="62"/>
      <c r="K19" s="54"/>
      <c r="L19" s="54"/>
      <c r="M19" s="63"/>
      <c r="N19" s="71">
        <f t="shared" si="0"/>
        <v>0</v>
      </c>
    </row>
    <row r="20" spans="2:22" ht="14.5" x14ac:dyDescent="0.35">
      <c r="B20" s="76">
        <v>14</v>
      </c>
      <c r="E20" s="62"/>
      <c r="F20" s="63"/>
      <c r="G20" s="62"/>
      <c r="H20" s="54"/>
      <c r="I20" s="63"/>
      <c r="J20" s="62"/>
      <c r="K20" s="54"/>
      <c r="L20" s="54"/>
      <c r="M20" s="63"/>
      <c r="N20" s="71">
        <f t="shared" si="0"/>
        <v>0</v>
      </c>
    </row>
    <row r="21" spans="2:22" ht="14.5" x14ac:dyDescent="0.35">
      <c r="B21" s="75">
        <v>15</v>
      </c>
      <c r="E21" s="62"/>
      <c r="F21" s="63"/>
      <c r="G21" s="62"/>
      <c r="H21" s="54"/>
      <c r="I21" s="63"/>
      <c r="J21" s="62"/>
      <c r="K21" s="54"/>
      <c r="L21" s="54"/>
      <c r="M21" s="63"/>
      <c r="N21" s="71">
        <f t="shared" si="0"/>
        <v>0</v>
      </c>
    </row>
    <row r="22" spans="2:22" ht="14.5" x14ac:dyDescent="0.35">
      <c r="B22" s="75">
        <v>16</v>
      </c>
      <c r="E22" s="62"/>
      <c r="F22" s="63"/>
      <c r="G22" s="62"/>
      <c r="H22" s="54"/>
      <c r="I22" s="63"/>
      <c r="J22" s="62"/>
      <c r="K22" s="54"/>
      <c r="L22" s="54"/>
      <c r="M22" s="63"/>
      <c r="N22" s="71">
        <f t="shared" si="0"/>
        <v>0</v>
      </c>
    </row>
    <row r="23" spans="2:22" ht="14.5" x14ac:dyDescent="0.35">
      <c r="B23" s="75">
        <v>17</v>
      </c>
      <c r="E23" s="62"/>
      <c r="F23" s="63"/>
      <c r="G23" s="62"/>
      <c r="H23" s="54"/>
      <c r="I23" s="63"/>
      <c r="J23" s="62"/>
      <c r="K23" s="54"/>
      <c r="L23" s="54"/>
      <c r="M23" s="63"/>
      <c r="N23" s="71">
        <f t="shared" si="0"/>
        <v>0</v>
      </c>
    </row>
    <row r="24" spans="2:22" ht="14.5" x14ac:dyDescent="0.35">
      <c r="B24" s="75">
        <v>18</v>
      </c>
      <c r="E24" s="62"/>
      <c r="F24" s="63"/>
      <c r="G24" s="62"/>
      <c r="H24" s="54"/>
      <c r="I24" s="63"/>
      <c r="J24" s="62"/>
      <c r="K24" s="54"/>
      <c r="L24" s="54"/>
      <c r="M24" s="63"/>
      <c r="N24" s="71">
        <f t="shared" si="0"/>
        <v>0</v>
      </c>
    </row>
    <row r="25" spans="2:22" ht="14.5" x14ac:dyDescent="0.35">
      <c r="B25" s="75">
        <v>19</v>
      </c>
      <c r="E25" s="62"/>
      <c r="F25" s="63"/>
      <c r="G25" s="62"/>
      <c r="H25" s="54"/>
      <c r="I25" s="63"/>
      <c r="J25" s="62"/>
      <c r="K25" s="54"/>
      <c r="L25" s="54"/>
      <c r="M25" s="63"/>
      <c r="N25" s="71">
        <f t="shared" si="0"/>
        <v>0</v>
      </c>
    </row>
    <row r="26" spans="2:22" ht="14.5" x14ac:dyDescent="0.35">
      <c r="B26" s="75">
        <v>20</v>
      </c>
      <c r="E26" s="62"/>
      <c r="F26" s="63"/>
      <c r="G26" s="62"/>
      <c r="H26" s="54"/>
      <c r="I26" s="63"/>
      <c r="J26" s="62"/>
      <c r="K26" s="54"/>
      <c r="L26" s="54"/>
      <c r="M26" s="63"/>
      <c r="N26" s="71">
        <f t="shared" si="0"/>
        <v>0</v>
      </c>
    </row>
    <row r="27" spans="2:22" ht="14.5" x14ac:dyDescent="0.35">
      <c r="B27" s="75">
        <v>21</v>
      </c>
      <c r="E27" s="62"/>
      <c r="F27" s="63"/>
      <c r="G27" s="62"/>
      <c r="H27" s="54"/>
      <c r="I27" s="63"/>
      <c r="J27" s="62"/>
      <c r="K27" s="54"/>
      <c r="L27" s="54"/>
      <c r="M27" s="63"/>
      <c r="N27" s="71">
        <f t="shared" si="0"/>
        <v>0</v>
      </c>
    </row>
    <row r="28" spans="2:22" ht="14.5" x14ac:dyDescent="0.35">
      <c r="B28" s="76">
        <v>22</v>
      </c>
      <c r="E28" s="62"/>
      <c r="F28" s="63"/>
      <c r="G28" s="62"/>
      <c r="H28" s="54"/>
      <c r="I28" s="63"/>
      <c r="J28" s="62"/>
      <c r="K28" s="54"/>
      <c r="L28" s="54"/>
      <c r="M28" s="63"/>
      <c r="N28" s="71">
        <f t="shared" si="0"/>
        <v>0</v>
      </c>
    </row>
    <row r="29" spans="2:22" ht="14.5" x14ac:dyDescent="0.35">
      <c r="B29" s="75">
        <v>23</v>
      </c>
      <c r="E29" s="62"/>
      <c r="F29" s="63"/>
      <c r="G29" s="62"/>
      <c r="H29" s="54"/>
      <c r="I29" s="63"/>
      <c r="J29" s="62"/>
      <c r="K29" s="54"/>
      <c r="L29" s="54"/>
      <c r="M29" s="63"/>
      <c r="N29" s="71">
        <f t="shared" si="0"/>
        <v>0</v>
      </c>
    </row>
    <row r="30" spans="2:22" ht="14.5" x14ac:dyDescent="0.35">
      <c r="B30" s="75">
        <v>24</v>
      </c>
      <c r="E30" s="62"/>
      <c r="F30" s="63"/>
      <c r="G30" s="62"/>
      <c r="H30" s="54"/>
      <c r="I30" s="63"/>
      <c r="J30" s="62"/>
      <c r="K30" s="54"/>
      <c r="L30" s="54"/>
      <c r="M30" s="63"/>
      <c r="N30" s="71">
        <f t="shared" si="0"/>
        <v>0</v>
      </c>
    </row>
    <row r="31" spans="2:22" ht="14.5" x14ac:dyDescent="0.35">
      <c r="B31" s="75">
        <v>25</v>
      </c>
      <c r="E31" s="62"/>
      <c r="F31" s="63"/>
      <c r="G31" s="62"/>
      <c r="H31" s="54"/>
      <c r="I31" s="63"/>
      <c r="J31" s="62"/>
      <c r="K31" s="54"/>
      <c r="L31" s="54"/>
      <c r="M31" s="63"/>
      <c r="N31" s="71">
        <f t="shared" si="0"/>
        <v>0</v>
      </c>
    </row>
    <row r="32" spans="2:22" ht="14.5" x14ac:dyDescent="0.35">
      <c r="B32" s="75">
        <v>26</v>
      </c>
      <c r="E32" s="62"/>
      <c r="F32" s="63"/>
      <c r="G32" s="62"/>
      <c r="H32" s="54"/>
      <c r="I32" s="63"/>
      <c r="J32" s="62"/>
      <c r="K32" s="54"/>
      <c r="L32" s="54"/>
      <c r="M32" s="63"/>
      <c r="N32" s="71">
        <f t="shared" si="0"/>
        <v>0</v>
      </c>
    </row>
    <row r="33" spans="2:14" ht="14.5" x14ac:dyDescent="0.35">
      <c r="B33" s="75">
        <v>27</v>
      </c>
      <c r="E33" s="62"/>
      <c r="F33" s="63"/>
      <c r="G33" s="62"/>
      <c r="H33" s="54"/>
      <c r="I33" s="63"/>
      <c r="J33" s="62"/>
      <c r="K33" s="54"/>
      <c r="L33" s="54"/>
      <c r="M33" s="63"/>
      <c r="N33" s="71">
        <f t="shared" si="0"/>
        <v>0</v>
      </c>
    </row>
    <row r="34" spans="2:14" ht="14.5" x14ac:dyDescent="0.35">
      <c r="B34" s="75">
        <v>28</v>
      </c>
      <c r="E34" s="62"/>
      <c r="F34" s="63"/>
      <c r="G34" s="62"/>
      <c r="H34" s="54"/>
      <c r="I34" s="63"/>
      <c r="J34" s="62"/>
      <c r="K34" s="54"/>
      <c r="L34" s="54"/>
      <c r="M34" s="63"/>
      <c r="N34" s="71">
        <f t="shared" si="0"/>
        <v>0</v>
      </c>
    </row>
    <row r="35" spans="2:14" ht="14.5" x14ac:dyDescent="0.35">
      <c r="B35" s="75">
        <v>29</v>
      </c>
      <c r="E35" s="62"/>
      <c r="F35" s="63"/>
      <c r="G35" s="62"/>
      <c r="H35" s="54"/>
      <c r="I35" s="63"/>
      <c r="J35" s="62"/>
      <c r="K35" s="54"/>
      <c r="L35" s="54"/>
      <c r="M35" s="63"/>
      <c r="N35" s="71">
        <f t="shared" si="0"/>
        <v>0</v>
      </c>
    </row>
    <row r="36" spans="2:14" ht="14.5" x14ac:dyDescent="0.35">
      <c r="B36" s="76">
        <v>30</v>
      </c>
      <c r="E36" s="62"/>
      <c r="F36" s="63"/>
      <c r="G36" s="62"/>
      <c r="H36" s="54"/>
      <c r="I36" s="63"/>
      <c r="J36" s="62"/>
      <c r="K36" s="54"/>
      <c r="L36" s="54"/>
      <c r="M36" s="63"/>
      <c r="N36" s="71">
        <f t="shared" si="0"/>
        <v>0</v>
      </c>
    </row>
    <row r="37" spans="2:14" ht="15" thickBot="1" x14ac:dyDescent="0.4">
      <c r="B37" s="77">
        <v>31</v>
      </c>
      <c r="E37" s="64"/>
      <c r="F37" s="66"/>
      <c r="G37" s="64"/>
      <c r="H37" s="84"/>
      <c r="I37" s="66"/>
      <c r="J37" s="64"/>
      <c r="K37" s="65"/>
      <c r="L37" s="65"/>
      <c r="M37" s="66"/>
      <c r="N37" s="72">
        <f t="shared" si="0"/>
        <v>0</v>
      </c>
    </row>
    <row r="38" spans="2:14" ht="14.5" customHeight="1" thickBot="1" x14ac:dyDescent="0.4"/>
    <row r="39" spans="2:14" ht="19" customHeight="1" thickBot="1" x14ac:dyDescent="0.4">
      <c r="B39" s="73" t="s">
        <v>44</v>
      </c>
      <c r="E39" s="67">
        <f>SUM(E7:E16)</f>
        <v>0</v>
      </c>
      <c r="F39" s="69">
        <f t="shared" ref="F39:N39" si="1">SUM(F7:F16)</f>
        <v>0</v>
      </c>
      <c r="G39" s="67">
        <f t="shared" si="1"/>
        <v>0</v>
      </c>
      <c r="H39" s="68">
        <f t="shared" si="1"/>
        <v>0</v>
      </c>
      <c r="I39" s="69">
        <f t="shared" si="1"/>
        <v>0</v>
      </c>
      <c r="J39" s="67">
        <f t="shared" ref="J39:M39" si="2">SUM(J7:J16)</f>
        <v>0</v>
      </c>
      <c r="K39" s="68">
        <f t="shared" si="2"/>
        <v>0</v>
      </c>
      <c r="L39" s="68">
        <f t="shared" si="2"/>
        <v>0</v>
      </c>
      <c r="M39" s="69">
        <f t="shared" si="2"/>
        <v>0</v>
      </c>
      <c r="N39" s="70">
        <f t="shared" si="1"/>
        <v>0</v>
      </c>
    </row>
    <row r="40" spans="2:14" ht="7" customHeight="1" thickBot="1" x14ac:dyDescent="0.4">
      <c r="E40" s="17"/>
      <c r="G40" s="17"/>
      <c r="J40" s="17"/>
      <c r="N40" s="17"/>
    </row>
    <row r="41" spans="2:14" ht="19" customHeight="1" thickBot="1" x14ac:dyDescent="0.4">
      <c r="B41" s="73" t="s">
        <v>45</v>
      </c>
      <c r="E41" s="67">
        <f>SUM(E17:E26)</f>
        <v>0</v>
      </c>
      <c r="F41" s="69">
        <f t="shared" ref="F41:N41" si="3">SUM(F17:F26)</f>
        <v>0</v>
      </c>
      <c r="G41" s="67">
        <f t="shared" si="3"/>
        <v>0</v>
      </c>
      <c r="H41" s="68">
        <f t="shared" si="3"/>
        <v>0</v>
      </c>
      <c r="I41" s="69">
        <f t="shared" si="3"/>
        <v>0</v>
      </c>
      <c r="J41" s="67">
        <f t="shared" ref="J41:M41" si="4">SUM(J17:J26)</f>
        <v>0</v>
      </c>
      <c r="K41" s="68">
        <f t="shared" si="4"/>
        <v>0</v>
      </c>
      <c r="L41" s="68">
        <f t="shared" si="4"/>
        <v>0</v>
      </c>
      <c r="M41" s="69">
        <f t="shared" si="4"/>
        <v>0</v>
      </c>
      <c r="N41" s="70">
        <f t="shared" si="3"/>
        <v>0</v>
      </c>
    </row>
    <row r="42" spans="2:14" ht="7" customHeight="1" thickBot="1" x14ac:dyDescent="0.4">
      <c r="E42" s="17"/>
      <c r="G42" s="17"/>
      <c r="J42" s="17"/>
      <c r="N42" s="17"/>
    </row>
    <row r="43" spans="2:14" ht="19" customHeight="1" thickBot="1" x14ac:dyDescent="0.4">
      <c r="B43" s="73" t="s">
        <v>46</v>
      </c>
      <c r="E43" s="67">
        <f>SUM(E27:E37)</f>
        <v>0</v>
      </c>
      <c r="F43" s="69">
        <f t="shared" ref="F43:N43" si="5">SUM(F27:F37)</f>
        <v>0</v>
      </c>
      <c r="G43" s="67">
        <f t="shared" si="5"/>
        <v>0</v>
      </c>
      <c r="H43" s="68">
        <f t="shared" si="5"/>
        <v>0</v>
      </c>
      <c r="I43" s="69">
        <f t="shared" si="5"/>
        <v>0</v>
      </c>
      <c r="J43" s="67">
        <f t="shared" ref="J43:M43" si="6">SUM(J27:J37)</f>
        <v>0</v>
      </c>
      <c r="K43" s="68">
        <f t="shared" si="6"/>
        <v>0</v>
      </c>
      <c r="L43" s="68">
        <f t="shared" si="6"/>
        <v>0</v>
      </c>
      <c r="M43" s="69">
        <f t="shared" si="6"/>
        <v>0</v>
      </c>
      <c r="N43" s="70">
        <f t="shared" si="5"/>
        <v>0</v>
      </c>
    </row>
    <row r="44" spans="2:14" ht="7" customHeight="1" thickBot="1" x14ac:dyDescent="0.4">
      <c r="E44" s="17"/>
      <c r="G44" s="17"/>
      <c r="J44" s="17"/>
      <c r="N44" s="17"/>
    </row>
    <row r="45" spans="2:14" ht="26.5" customHeight="1" thickBot="1" x14ac:dyDescent="0.4">
      <c r="B45" s="78" t="s">
        <v>24</v>
      </c>
      <c r="E45" s="15">
        <f>E39+E41+E43</f>
        <v>0</v>
      </c>
      <c r="F45" s="15">
        <f t="shared" ref="F45:I45" si="7">F39+F41+F43</f>
        <v>0</v>
      </c>
      <c r="G45" s="15">
        <f t="shared" si="7"/>
        <v>0</v>
      </c>
      <c r="H45" s="15">
        <f t="shared" si="7"/>
        <v>0</v>
      </c>
      <c r="I45" s="15">
        <f t="shared" si="7"/>
        <v>0</v>
      </c>
      <c r="J45" s="15">
        <f t="shared" ref="J45:M45" si="8">J39+J41+J43</f>
        <v>0</v>
      </c>
      <c r="K45" s="15">
        <f t="shared" si="8"/>
        <v>0</v>
      </c>
      <c r="L45" s="15">
        <f t="shared" si="8"/>
        <v>0</v>
      </c>
      <c r="M45" s="26">
        <f t="shared" si="8"/>
        <v>0</v>
      </c>
      <c r="N45" s="30">
        <f>N39+N41+N43</f>
        <v>0</v>
      </c>
    </row>
    <row r="46" spans="2:14" ht="14.5" customHeight="1" x14ac:dyDescent="0.35"/>
    <row r="47" spans="2:14" ht="14.5" customHeight="1" x14ac:dyDescent="0.35">
      <c r="B47" t="s">
        <v>54</v>
      </c>
    </row>
  </sheetData>
  <sheetProtection sheet="1" objects="1" scenarios="1"/>
  <mergeCells count="9">
    <mergeCell ref="N5:N6"/>
    <mergeCell ref="E5:F5"/>
    <mergeCell ref="G5:I5"/>
    <mergeCell ref="B1:H1"/>
    <mergeCell ref="B3:H3"/>
    <mergeCell ref="J5:M5"/>
    <mergeCell ref="I1:N1"/>
    <mergeCell ref="I3:N3"/>
    <mergeCell ref="B5:B6"/>
  </mergeCells>
  <dataValidations count="2">
    <dataValidation type="list" allowBlank="1" showInputMessage="1" showErrorMessage="1" sqref="E7:M37" xr:uid="{E2807FFE-F8EE-4F03-931A-067779B8E61C}">
      <formula1>"0,1,2,3,4,5,6,7,8,9,10,11,12,13,14,15,16,17,18,19,20"</formula1>
    </dataValidation>
    <dataValidation type="list" allowBlank="1" showInputMessage="1" showErrorMessage="1" sqref="I3" xr:uid="{60CCB246-7777-488C-851B-6904C28FE443}">
      <formula1>$V$7:$V$18</formula1>
    </dataValidation>
  </dataValidations>
  <pageMargins left="0.51181102362204722" right="0.51181102362204722" top="0.39370078740157483" bottom="0.39370078740157483" header="0.31496062992125984" footer="0.31496062992125984"/>
  <pageSetup paperSize="9" scale="61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B2136-8EC0-425C-9BEC-70F317662E75}">
  <sheetPr>
    <pageSetUpPr fitToPage="1"/>
  </sheetPr>
  <dimension ref="A1:Z47"/>
  <sheetViews>
    <sheetView showGridLines="0" zoomScaleNormal="100" workbookViewId="0">
      <pane xSplit="2" ySplit="6" topLeftCell="C7" activePane="bottomRight" state="frozen"/>
      <selection activeCell="I3" sqref="I3:N3"/>
      <selection pane="topRight" activeCell="I3" sqref="I3:N3"/>
      <selection pane="bottomLeft" activeCell="I3" sqref="I3:N3"/>
      <selection pane="bottomRight" activeCell="I3" sqref="I3:N3"/>
    </sheetView>
  </sheetViews>
  <sheetFormatPr defaultColWidth="0" defaultRowHeight="0" customHeight="1" zeroHeight="1" x14ac:dyDescent="0.35"/>
  <cols>
    <col min="1" max="1" width="1.81640625" customWidth="1"/>
    <col min="2" max="2" width="11.54296875" customWidth="1"/>
    <col min="3" max="4" width="1.453125" customWidth="1"/>
    <col min="5" max="8" width="11.90625" customWidth="1"/>
    <col min="9" max="9" width="15" customWidth="1"/>
    <col min="10" max="11" width="11.90625" customWidth="1"/>
    <col min="12" max="12" width="13" customWidth="1"/>
    <col min="13" max="13" width="11.90625" customWidth="1"/>
    <col min="14" max="14" width="13.54296875" customWidth="1"/>
    <col min="15" max="15" width="2.26953125" customWidth="1"/>
    <col min="16" max="26" width="0" hidden="1" customWidth="1"/>
    <col min="27" max="16384" width="8.7265625" hidden="1"/>
  </cols>
  <sheetData>
    <row r="1" spans="2:22" ht="32.15" customHeight="1" x14ac:dyDescent="0.35">
      <c r="B1" s="87" t="s">
        <v>0</v>
      </c>
      <c r="C1" s="87"/>
      <c r="D1" s="87"/>
      <c r="E1" s="87"/>
      <c r="F1" s="87"/>
      <c r="G1" s="87"/>
      <c r="H1" s="87"/>
      <c r="I1" s="110"/>
      <c r="J1" s="110"/>
      <c r="K1" s="110"/>
      <c r="L1" s="110"/>
      <c r="M1" s="110"/>
      <c r="N1" s="110"/>
    </row>
    <row r="2" spans="2:22" ht="10.5" customHeight="1" x14ac:dyDescent="0.35">
      <c r="B2" s="1"/>
      <c r="E2" s="2"/>
      <c r="F2" s="2"/>
      <c r="G2" s="2"/>
      <c r="H2" s="2"/>
      <c r="I2" s="2"/>
    </row>
    <row r="3" spans="2:22" ht="32.15" customHeight="1" x14ac:dyDescent="0.35">
      <c r="B3" s="87" t="s">
        <v>1</v>
      </c>
      <c r="C3" s="87"/>
      <c r="D3" s="87"/>
      <c r="E3" s="87"/>
      <c r="F3" s="87"/>
      <c r="G3" s="87"/>
      <c r="H3" s="87"/>
      <c r="I3" s="110"/>
      <c r="J3" s="110"/>
      <c r="K3" s="110"/>
      <c r="L3" s="110"/>
      <c r="M3" s="110"/>
      <c r="N3" s="110"/>
    </row>
    <row r="4" spans="2:22" ht="10.5" customHeight="1" thickBot="1" x14ac:dyDescent="0.4">
      <c r="B4" s="3"/>
    </row>
    <row r="5" spans="2:22" ht="13.5" customHeight="1" x14ac:dyDescent="0.35">
      <c r="B5" s="111" t="s">
        <v>4</v>
      </c>
      <c r="E5" s="107" t="s">
        <v>28</v>
      </c>
      <c r="F5" s="108"/>
      <c r="G5" s="107" t="s">
        <v>27</v>
      </c>
      <c r="H5" s="109"/>
      <c r="I5" s="108"/>
      <c r="J5" s="107" t="s">
        <v>3</v>
      </c>
      <c r="K5" s="109"/>
      <c r="L5" s="109"/>
      <c r="M5" s="108"/>
      <c r="N5" s="105" t="s">
        <v>26</v>
      </c>
    </row>
    <row r="6" spans="2:22" ht="27" customHeight="1" thickBot="1" x14ac:dyDescent="0.4">
      <c r="B6" s="112"/>
      <c r="C6" s="5"/>
      <c r="D6" s="5"/>
      <c r="E6" s="60" t="s">
        <v>5</v>
      </c>
      <c r="F6" s="61" t="s">
        <v>6</v>
      </c>
      <c r="G6" s="60" t="s">
        <v>5</v>
      </c>
      <c r="H6" s="59" t="s">
        <v>51</v>
      </c>
      <c r="I6" s="61" t="s">
        <v>8</v>
      </c>
      <c r="J6" s="60" t="s">
        <v>7</v>
      </c>
      <c r="K6" s="59" t="s">
        <v>6</v>
      </c>
      <c r="L6" s="59" t="s">
        <v>50</v>
      </c>
      <c r="M6" s="61" t="s">
        <v>9</v>
      </c>
      <c r="N6" s="106"/>
    </row>
    <row r="7" spans="2:22" ht="14.5" x14ac:dyDescent="0.35">
      <c r="B7" s="74">
        <v>1</v>
      </c>
      <c r="C7" s="9"/>
      <c r="D7" s="9"/>
      <c r="E7" s="62"/>
      <c r="F7" s="63"/>
      <c r="G7" s="62"/>
      <c r="H7" s="54"/>
      <c r="I7" s="63"/>
      <c r="J7" s="62"/>
      <c r="K7" s="54"/>
      <c r="L7" s="54"/>
      <c r="M7" s="63"/>
      <c r="N7" s="71">
        <f>G7+E7+J7</f>
        <v>0</v>
      </c>
      <c r="V7" t="s">
        <v>10</v>
      </c>
    </row>
    <row r="8" spans="2:22" ht="14.5" x14ac:dyDescent="0.35">
      <c r="B8" s="75">
        <v>2</v>
      </c>
      <c r="C8" s="9"/>
      <c r="D8" s="9"/>
      <c r="E8" s="62"/>
      <c r="F8" s="63"/>
      <c r="G8" s="62"/>
      <c r="H8" s="54"/>
      <c r="I8" s="63"/>
      <c r="J8" s="62"/>
      <c r="K8" s="54"/>
      <c r="L8" s="54"/>
      <c r="M8" s="63"/>
      <c r="N8" s="71">
        <f>G8+E8+J8</f>
        <v>0</v>
      </c>
      <c r="V8" t="s">
        <v>11</v>
      </c>
    </row>
    <row r="9" spans="2:22" ht="14.5" x14ac:dyDescent="0.35">
      <c r="B9" s="75">
        <v>3</v>
      </c>
      <c r="C9" s="9"/>
      <c r="D9" s="9"/>
      <c r="E9" s="62"/>
      <c r="F9" s="63"/>
      <c r="G9" s="62"/>
      <c r="H9" s="54"/>
      <c r="I9" s="63"/>
      <c r="J9" s="62"/>
      <c r="K9" s="54"/>
      <c r="L9" s="54"/>
      <c r="M9" s="63"/>
      <c r="N9" s="71">
        <f>G9+E9+J9</f>
        <v>0</v>
      </c>
      <c r="V9" t="s">
        <v>2</v>
      </c>
    </row>
    <row r="10" spans="2:22" ht="14.5" x14ac:dyDescent="0.35">
      <c r="B10" s="75">
        <v>4</v>
      </c>
      <c r="C10" s="9"/>
      <c r="D10" s="9"/>
      <c r="E10" s="62"/>
      <c r="F10" s="63"/>
      <c r="G10" s="62"/>
      <c r="H10" s="54"/>
      <c r="I10" s="63"/>
      <c r="J10" s="62"/>
      <c r="K10" s="54"/>
      <c r="L10" s="54"/>
      <c r="M10" s="63"/>
      <c r="N10" s="71">
        <f t="shared" ref="N10:N37" si="0">G10+E10+J10</f>
        <v>0</v>
      </c>
      <c r="V10" t="s">
        <v>12</v>
      </c>
    </row>
    <row r="11" spans="2:22" ht="14.5" x14ac:dyDescent="0.35">
      <c r="B11" s="75">
        <v>5</v>
      </c>
      <c r="C11" s="9"/>
      <c r="D11" s="9"/>
      <c r="E11" s="62"/>
      <c r="F11" s="63"/>
      <c r="G11" s="62"/>
      <c r="H11" s="54"/>
      <c r="I11" s="63"/>
      <c r="J11" s="62"/>
      <c r="K11" s="54"/>
      <c r="L11" s="54"/>
      <c r="M11" s="63"/>
      <c r="N11" s="71">
        <f t="shared" si="0"/>
        <v>0</v>
      </c>
      <c r="V11" t="s">
        <v>13</v>
      </c>
    </row>
    <row r="12" spans="2:22" ht="14.5" x14ac:dyDescent="0.35">
      <c r="B12" s="76">
        <v>6</v>
      </c>
      <c r="C12" s="9"/>
      <c r="D12" s="9"/>
      <c r="E12" s="62"/>
      <c r="F12" s="63"/>
      <c r="G12" s="62"/>
      <c r="H12" s="54"/>
      <c r="I12" s="63"/>
      <c r="J12" s="62"/>
      <c r="K12" s="54"/>
      <c r="L12" s="54"/>
      <c r="M12" s="63"/>
      <c r="N12" s="71">
        <f t="shared" si="0"/>
        <v>0</v>
      </c>
      <c r="V12" t="s">
        <v>14</v>
      </c>
    </row>
    <row r="13" spans="2:22" ht="14.5" x14ac:dyDescent="0.35">
      <c r="B13" s="75">
        <v>7</v>
      </c>
      <c r="C13" s="9"/>
      <c r="D13" s="9"/>
      <c r="E13" s="62"/>
      <c r="F13" s="63"/>
      <c r="G13" s="62"/>
      <c r="H13" s="54"/>
      <c r="I13" s="63"/>
      <c r="J13" s="62"/>
      <c r="K13" s="54"/>
      <c r="L13" s="54"/>
      <c r="M13" s="63"/>
      <c r="N13" s="71">
        <f t="shared" si="0"/>
        <v>0</v>
      </c>
      <c r="V13" t="s">
        <v>15</v>
      </c>
    </row>
    <row r="14" spans="2:22" ht="14.5" x14ac:dyDescent="0.35">
      <c r="B14" s="75">
        <v>8</v>
      </c>
      <c r="E14" s="62"/>
      <c r="F14" s="63"/>
      <c r="G14" s="62"/>
      <c r="H14" s="54"/>
      <c r="I14" s="63"/>
      <c r="J14" s="62"/>
      <c r="K14" s="54"/>
      <c r="L14" s="54"/>
      <c r="M14" s="63"/>
      <c r="N14" s="71">
        <f t="shared" si="0"/>
        <v>0</v>
      </c>
      <c r="V14" t="s">
        <v>16</v>
      </c>
    </row>
    <row r="15" spans="2:22" ht="14.5" x14ac:dyDescent="0.35">
      <c r="B15" s="75">
        <v>9</v>
      </c>
      <c r="E15" s="62"/>
      <c r="F15" s="63"/>
      <c r="G15" s="62"/>
      <c r="H15" s="54"/>
      <c r="I15" s="63"/>
      <c r="J15" s="62"/>
      <c r="K15" s="54"/>
      <c r="L15" s="54"/>
      <c r="M15" s="63"/>
      <c r="N15" s="71">
        <f t="shared" si="0"/>
        <v>0</v>
      </c>
      <c r="V15" t="s">
        <v>17</v>
      </c>
    </row>
    <row r="16" spans="2:22" ht="14.5" x14ac:dyDescent="0.35">
      <c r="B16" s="75">
        <v>10</v>
      </c>
      <c r="E16" s="62"/>
      <c r="F16" s="63"/>
      <c r="G16" s="62"/>
      <c r="H16" s="54"/>
      <c r="I16" s="63"/>
      <c r="J16" s="62"/>
      <c r="K16" s="54"/>
      <c r="L16" s="54"/>
      <c r="M16" s="63"/>
      <c r="N16" s="71">
        <f t="shared" si="0"/>
        <v>0</v>
      </c>
      <c r="V16" t="s">
        <v>18</v>
      </c>
    </row>
    <row r="17" spans="2:22" ht="14.5" x14ac:dyDescent="0.35">
      <c r="B17" s="75">
        <v>11</v>
      </c>
      <c r="E17" s="62"/>
      <c r="F17" s="63"/>
      <c r="G17" s="62"/>
      <c r="H17" s="54"/>
      <c r="I17" s="63"/>
      <c r="J17" s="62"/>
      <c r="K17" s="54"/>
      <c r="L17" s="54"/>
      <c r="M17" s="63"/>
      <c r="N17" s="71">
        <f t="shared" si="0"/>
        <v>0</v>
      </c>
      <c r="V17" t="s">
        <v>19</v>
      </c>
    </row>
    <row r="18" spans="2:22" ht="14.5" x14ac:dyDescent="0.35">
      <c r="B18" s="75">
        <v>12</v>
      </c>
      <c r="E18" s="62"/>
      <c r="F18" s="63"/>
      <c r="G18" s="62"/>
      <c r="H18" s="54"/>
      <c r="I18" s="63"/>
      <c r="J18" s="62"/>
      <c r="K18" s="54"/>
      <c r="L18" s="54"/>
      <c r="M18" s="63"/>
      <c r="N18" s="71">
        <f t="shared" si="0"/>
        <v>0</v>
      </c>
      <c r="V18" t="s">
        <v>20</v>
      </c>
    </row>
    <row r="19" spans="2:22" ht="14.5" x14ac:dyDescent="0.35">
      <c r="B19" s="75">
        <v>13</v>
      </c>
      <c r="E19" s="62"/>
      <c r="F19" s="63"/>
      <c r="G19" s="62"/>
      <c r="H19" s="54"/>
      <c r="I19" s="63"/>
      <c r="J19" s="62"/>
      <c r="K19" s="54"/>
      <c r="L19" s="54"/>
      <c r="M19" s="63"/>
      <c r="N19" s="71">
        <f t="shared" si="0"/>
        <v>0</v>
      </c>
    </row>
    <row r="20" spans="2:22" ht="14.5" x14ac:dyDescent="0.35">
      <c r="B20" s="76">
        <v>14</v>
      </c>
      <c r="E20" s="62"/>
      <c r="F20" s="63"/>
      <c r="G20" s="62"/>
      <c r="H20" s="54"/>
      <c r="I20" s="63"/>
      <c r="J20" s="62"/>
      <c r="K20" s="54"/>
      <c r="L20" s="54"/>
      <c r="M20" s="63"/>
      <c r="N20" s="71">
        <f t="shared" si="0"/>
        <v>0</v>
      </c>
    </row>
    <row r="21" spans="2:22" ht="14.5" x14ac:dyDescent="0.35">
      <c r="B21" s="75">
        <v>15</v>
      </c>
      <c r="E21" s="62"/>
      <c r="F21" s="63"/>
      <c r="G21" s="62"/>
      <c r="H21" s="54"/>
      <c r="I21" s="63"/>
      <c r="J21" s="62"/>
      <c r="K21" s="54"/>
      <c r="L21" s="54"/>
      <c r="M21" s="63"/>
      <c r="N21" s="71">
        <f t="shared" si="0"/>
        <v>0</v>
      </c>
    </row>
    <row r="22" spans="2:22" ht="14.5" x14ac:dyDescent="0.35">
      <c r="B22" s="75">
        <v>16</v>
      </c>
      <c r="E22" s="62"/>
      <c r="F22" s="63"/>
      <c r="G22" s="62"/>
      <c r="H22" s="54"/>
      <c r="I22" s="63"/>
      <c r="J22" s="62"/>
      <c r="K22" s="54"/>
      <c r="L22" s="54"/>
      <c r="M22" s="63"/>
      <c r="N22" s="71">
        <f t="shared" si="0"/>
        <v>0</v>
      </c>
    </row>
    <row r="23" spans="2:22" ht="14.5" x14ac:dyDescent="0.35">
      <c r="B23" s="75">
        <v>17</v>
      </c>
      <c r="E23" s="62"/>
      <c r="F23" s="63"/>
      <c r="G23" s="62"/>
      <c r="H23" s="54"/>
      <c r="I23" s="63"/>
      <c r="J23" s="62"/>
      <c r="K23" s="54"/>
      <c r="L23" s="54"/>
      <c r="M23" s="63"/>
      <c r="N23" s="71">
        <f t="shared" si="0"/>
        <v>0</v>
      </c>
    </row>
    <row r="24" spans="2:22" ht="14.5" x14ac:dyDescent="0.35">
      <c r="B24" s="75">
        <v>18</v>
      </c>
      <c r="E24" s="62"/>
      <c r="F24" s="63"/>
      <c r="G24" s="62"/>
      <c r="H24" s="54"/>
      <c r="I24" s="63"/>
      <c r="J24" s="62"/>
      <c r="K24" s="54"/>
      <c r="L24" s="54"/>
      <c r="M24" s="63"/>
      <c r="N24" s="71">
        <f t="shared" si="0"/>
        <v>0</v>
      </c>
    </row>
    <row r="25" spans="2:22" ht="14.5" x14ac:dyDescent="0.35">
      <c r="B25" s="75">
        <v>19</v>
      </c>
      <c r="E25" s="62"/>
      <c r="F25" s="63"/>
      <c r="G25" s="62"/>
      <c r="H25" s="54"/>
      <c r="I25" s="63"/>
      <c r="J25" s="62"/>
      <c r="K25" s="54"/>
      <c r="L25" s="54"/>
      <c r="M25" s="63"/>
      <c r="N25" s="71">
        <f t="shared" si="0"/>
        <v>0</v>
      </c>
    </row>
    <row r="26" spans="2:22" ht="14.5" x14ac:dyDescent="0.35">
      <c r="B26" s="75">
        <v>20</v>
      </c>
      <c r="E26" s="62"/>
      <c r="F26" s="63"/>
      <c r="G26" s="62"/>
      <c r="H26" s="54"/>
      <c r="I26" s="63"/>
      <c r="J26" s="62"/>
      <c r="K26" s="54"/>
      <c r="L26" s="54"/>
      <c r="M26" s="63"/>
      <c r="N26" s="71">
        <f t="shared" si="0"/>
        <v>0</v>
      </c>
    </row>
    <row r="27" spans="2:22" ht="14.5" x14ac:dyDescent="0.35">
      <c r="B27" s="75">
        <v>21</v>
      </c>
      <c r="E27" s="62"/>
      <c r="F27" s="63"/>
      <c r="G27" s="62"/>
      <c r="H27" s="54"/>
      <c r="I27" s="63"/>
      <c r="J27" s="62"/>
      <c r="K27" s="54"/>
      <c r="L27" s="54"/>
      <c r="M27" s="63"/>
      <c r="N27" s="71">
        <f t="shared" si="0"/>
        <v>0</v>
      </c>
    </row>
    <row r="28" spans="2:22" ht="14.5" x14ac:dyDescent="0.35">
      <c r="B28" s="76">
        <v>22</v>
      </c>
      <c r="E28" s="62"/>
      <c r="F28" s="63"/>
      <c r="G28" s="62"/>
      <c r="H28" s="54"/>
      <c r="I28" s="63"/>
      <c r="J28" s="62"/>
      <c r="K28" s="54"/>
      <c r="L28" s="54"/>
      <c r="M28" s="63"/>
      <c r="N28" s="71">
        <f t="shared" si="0"/>
        <v>0</v>
      </c>
    </row>
    <row r="29" spans="2:22" ht="14.5" x14ac:dyDescent="0.35">
      <c r="B29" s="75">
        <v>23</v>
      </c>
      <c r="E29" s="62"/>
      <c r="F29" s="63"/>
      <c r="G29" s="62"/>
      <c r="H29" s="54"/>
      <c r="I29" s="63"/>
      <c r="J29" s="62"/>
      <c r="K29" s="54"/>
      <c r="L29" s="54"/>
      <c r="M29" s="63"/>
      <c r="N29" s="71">
        <f t="shared" si="0"/>
        <v>0</v>
      </c>
    </row>
    <row r="30" spans="2:22" ht="14.5" x14ac:dyDescent="0.35">
      <c r="B30" s="75">
        <v>24</v>
      </c>
      <c r="E30" s="62"/>
      <c r="F30" s="63"/>
      <c r="G30" s="62"/>
      <c r="H30" s="54"/>
      <c r="I30" s="63"/>
      <c r="J30" s="62"/>
      <c r="K30" s="54"/>
      <c r="L30" s="54"/>
      <c r="M30" s="63"/>
      <c r="N30" s="71">
        <f t="shared" si="0"/>
        <v>0</v>
      </c>
    </row>
    <row r="31" spans="2:22" ht="14.5" x14ac:dyDescent="0.35">
      <c r="B31" s="75">
        <v>25</v>
      </c>
      <c r="E31" s="62"/>
      <c r="F31" s="63"/>
      <c r="G31" s="62"/>
      <c r="H31" s="54"/>
      <c r="I31" s="63"/>
      <c r="J31" s="62"/>
      <c r="K31" s="54"/>
      <c r="L31" s="54"/>
      <c r="M31" s="63"/>
      <c r="N31" s="71">
        <f t="shared" si="0"/>
        <v>0</v>
      </c>
    </row>
    <row r="32" spans="2:22" ht="14.5" x14ac:dyDescent="0.35">
      <c r="B32" s="75">
        <v>26</v>
      </c>
      <c r="E32" s="62"/>
      <c r="F32" s="63"/>
      <c r="G32" s="62"/>
      <c r="H32" s="54"/>
      <c r="I32" s="63"/>
      <c r="J32" s="62"/>
      <c r="K32" s="54"/>
      <c r="L32" s="54"/>
      <c r="M32" s="63"/>
      <c r="N32" s="71">
        <f t="shared" si="0"/>
        <v>0</v>
      </c>
    </row>
    <row r="33" spans="2:14" ht="14.5" x14ac:dyDescent="0.35">
      <c r="B33" s="75">
        <v>27</v>
      </c>
      <c r="E33" s="62"/>
      <c r="F33" s="63"/>
      <c r="G33" s="62"/>
      <c r="H33" s="54"/>
      <c r="I33" s="63"/>
      <c r="J33" s="62"/>
      <c r="K33" s="54"/>
      <c r="L33" s="54"/>
      <c r="M33" s="63"/>
      <c r="N33" s="71">
        <f t="shared" si="0"/>
        <v>0</v>
      </c>
    </row>
    <row r="34" spans="2:14" ht="14.5" x14ac:dyDescent="0.35">
      <c r="B34" s="75">
        <v>28</v>
      </c>
      <c r="E34" s="62"/>
      <c r="F34" s="63"/>
      <c r="G34" s="62"/>
      <c r="H34" s="54"/>
      <c r="I34" s="63"/>
      <c r="J34" s="62"/>
      <c r="K34" s="54"/>
      <c r="L34" s="54"/>
      <c r="M34" s="63"/>
      <c r="N34" s="71">
        <f t="shared" si="0"/>
        <v>0</v>
      </c>
    </row>
    <row r="35" spans="2:14" ht="14.5" x14ac:dyDescent="0.35">
      <c r="B35" s="75">
        <v>29</v>
      </c>
      <c r="E35" s="62"/>
      <c r="F35" s="63"/>
      <c r="G35" s="62"/>
      <c r="H35" s="54"/>
      <c r="I35" s="63"/>
      <c r="J35" s="62"/>
      <c r="K35" s="54"/>
      <c r="L35" s="54"/>
      <c r="M35" s="63"/>
      <c r="N35" s="71">
        <f t="shared" si="0"/>
        <v>0</v>
      </c>
    </row>
    <row r="36" spans="2:14" ht="14.5" x14ac:dyDescent="0.35">
      <c r="B36" s="76">
        <v>30</v>
      </c>
      <c r="E36" s="62"/>
      <c r="F36" s="63"/>
      <c r="G36" s="62"/>
      <c r="H36" s="54"/>
      <c r="I36" s="63"/>
      <c r="J36" s="62"/>
      <c r="K36" s="54"/>
      <c r="L36" s="54"/>
      <c r="M36" s="63"/>
      <c r="N36" s="71">
        <f t="shared" si="0"/>
        <v>0</v>
      </c>
    </row>
    <row r="37" spans="2:14" ht="15" thickBot="1" x14ac:dyDescent="0.4">
      <c r="B37" s="77">
        <v>31</v>
      </c>
      <c r="E37" s="64"/>
      <c r="F37" s="66"/>
      <c r="G37" s="64"/>
      <c r="H37" s="84"/>
      <c r="I37" s="66"/>
      <c r="J37" s="64"/>
      <c r="K37" s="65"/>
      <c r="L37" s="65"/>
      <c r="M37" s="66"/>
      <c r="N37" s="72">
        <f t="shared" si="0"/>
        <v>0</v>
      </c>
    </row>
    <row r="38" spans="2:14" ht="14.5" customHeight="1" thickBot="1" x14ac:dyDescent="0.4"/>
    <row r="39" spans="2:14" ht="19" customHeight="1" thickBot="1" x14ac:dyDescent="0.4">
      <c r="B39" s="73" t="s">
        <v>44</v>
      </c>
      <c r="E39" s="67">
        <f>SUM(E7:E16)</f>
        <v>0</v>
      </c>
      <c r="F39" s="69">
        <f t="shared" ref="F39:N39" si="1">SUM(F7:F16)</f>
        <v>0</v>
      </c>
      <c r="G39" s="67">
        <f t="shared" si="1"/>
        <v>0</v>
      </c>
      <c r="H39" s="68">
        <f t="shared" si="1"/>
        <v>0</v>
      </c>
      <c r="I39" s="69">
        <f t="shared" si="1"/>
        <v>0</v>
      </c>
      <c r="J39" s="67">
        <f t="shared" si="1"/>
        <v>0</v>
      </c>
      <c r="K39" s="68">
        <f t="shared" si="1"/>
        <v>0</v>
      </c>
      <c r="L39" s="68">
        <f t="shared" si="1"/>
        <v>0</v>
      </c>
      <c r="M39" s="69">
        <f t="shared" si="1"/>
        <v>0</v>
      </c>
      <c r="N39" s="70">
        <f t="shared" si="1"/>
        <v>0</v>
      </c>
    </row>
    <row r="40" spans="2:14" ht="7" customHeight="1" thickBot="1" x14ac:dyDescent="0.4">
      <c r="E40" s="17"/>
      <c r="G40" s="17"/>
      <c r="J40" s="17"/>
      <c r="N40" s="17"/>
    </row>
    <row r="41" spans="2:14" ht="19" customHeight="1" thickBot="1" x14ac:dyDescent="0.4">
      <c r="B41" s="73" t="s">
        <v>45</v>
      </c>
      <c r="E41" s="67">
        <f>SUM(E17:E26)</f>
        <v>0</v>
      </c>
      <c r="F41" s="69">
        <f t="shared" ref="F41:N41" si="2">SUM(F17:F26)</f>
        <v>0</v>
      </c>
      <c r="G41" s="67">
        <f t="shared" si="2"/>
        <v>0</v>
      </c>
      <c r="H41" s="68">
        <f t="shared" si="2"/>
        <v>0</v>
      </c>
      <c r="I41" s="69">
        <f t="shared" si="2"/>
        <v>0</v>
      </c>
      <c r="J41" s="67">
        <f t="shared" si="2"/>
        <v>0</v>
      </c>
      <c r="K41" s="68">
        <f t="shared" si="2"/>
        <v>0</v>
      </c>
      <c r="L41" s="68">
        <f t="shared" si="2"/>
        <v>0</v>
      </c>
      <c r="M41" s="69">
        <f t="shared" si="2"/>
        <v>0</v>
      </c>
      <c r="N41" s="70">
        <f t="shared" si="2"/>
        <v>0</v>
      </c>
    </row>
    <row r="42" spans="2:14" ht="7" customHeight="1" thickBot="1" x14ac:dyDescent="0.4">
      <c r="E42" s="17"/>
      <c r="G42" s="17"/>
      <c r="J42" s="17"/>
      <c r="N42" s="17"/>
    </row>
    <row r="43" spans="2:14" ht="19" customHeight="1" thickBot="1" x14ac:dyDescent="0.4">
      <c r="B43" s="73" t="s">
        <v>46</v>
      </c>
      <c r="E43" s="67">
        <f>SUM(E27:E37)</f>
        <v>0</v>
      </c>
      <c r="F43" s="69">
        <f t="shared" ref="F43:N43" si="3">SUM(F27:F37)</f>
        <v>0</v>
      </c>
      <c r="G43" s="67">
        <f t="shared" si="3"/>
        <v>0</v>
      </c>
      <c r="H43" s="68">
        <f t="shared" si="3"/>
        <v>0</v>
      </c>
      <c r="I43" s="69">
        <f t="shared" si="3"/>
        <v>0</v>
      </c>
      <c r="J43" s="67">
        <f t="shared" si="3"/>
        <v>0</v>
      </c>
      <c r="K43" s="68">
        <f t="shared" si="3"/>
        <v>0</v>
      </c>
      <c r="L43" s="68">
        <f t="shared" si="3"/>
        <v>0</v>
      </c>
      <c r="M43" s="69">
        <f t="shared" si="3"/>
        <v>0</v>
      </c>
      <c r="N43" s="70">
        <f t="shared" si="3"/>
        <v>0</v>
      </c>
    </row>
    <row r="44" spans="2:14" ht="7" customHeight="1" thickBot="1" x14ac:dyDescent="0.4">
      <c r="E44" s="17"/>
      <c r="G44" s="17"/>
      <c r="J44" s="17"/>
      <c r="N44" s="17"/>
    </row>
    <row r="45" spans="2:14" ht="26.5" customHeight="1" thickBot="1" x14ac:dyDescent="0.4">
      <c r="B45" s="78" t="s">
        <v>24</v>
      </c>
      <c r="E45" s="15">
        <f>E39+E41+E43</f>
        <v>0</v>
      </c>
      <c r="F45" s="15">
        <f t="shared" ref="F45:M45" si="4">F39+F41+F43</f>
        <v>0</v>
      </c>
      <c r="G45" s="15">
        <f t="shared" si="4"/>
        <v>0</v>
      </c>
      <c r="H45" s="15">
        <f t="shared" si="4"/>
        <v>0</v>
      </c>
      <c r="I45" s="15">
        <f t="shared" si="4"/>
        <v>0</v>
      </c>
      <c r="J45" s="15">
        <f t="shared" si="4"/>
        <v>0</v>
      </c>
      <c r="K45" s="15">
        <f t="shared" si="4"/>
        <v>0</v>
      </c>
      <c r="L45" s="15">
        <f t="shared" si="4"/>
        <v>0</v>
      </c>
      <c r="M45" s="26">
        <f t="shared" si="4"/>
        <v>0</v>
      </c>
      <c r="N45" s="30">
        <f>N39+N41+N43</f>
        <v>0</v>
      </c>
    </row>
    <row r="46" spans="2:14" ht="14.5" customHeight="1" x14ac:dyDescent="0.35"/>
    <row r="47" spans="2:14" ht="14.5" customHeight="1" x14ac:dyDescent="0.35">
      <c r="B47" t="s">
        <v>54</v>
      </c>
    </row>
  </sheetData>
  <sheetProtection sheet="1" objects="1" scenarios="1"/>
  <mergeCells count="9">
    <mergeCell ref="B1:H1"/>
    <mergeCell ref="I1:N1"/>
    <mergeCell ref="B3:H3"/>
    <mergeCell ref="I3:N3"/>
    <mergeCell ref="B5:B6"/>
    <mergeCell ref="E5:F5"/>
    <mergeCell ref="G5:I5"/>
    <mergeCell ref="J5:M5"/>
    <mergeCell ref="N5:N6"/>
  </mergeCells>
  <dataValidations count="2">
    <dataValidation type="list" allowBlank="1" showInputMessage="1" showErrorMessage="1" sqref="I3" xr:uid="{71E8EE09-6CBC-41B0-9AA2-B6421559DF55}">
      <formula1>$V$7:$V$18</formula1>
    </dataValidation>
    <dataValidation type="list" allowBlank="1" showInputMessage="1" showErrorMessage="1" sqref="E7:M37" xr:uid="{001D94B0-28E1-4223-BAA2-86B38C2E2B0E}">
      <formula1>"0,1,2,3,4,5,6,7,8,9,10,11,12,13,14,15,16,17,18,19,20"</formula1>
    </dataValidation>
  </dataValidations>
  <pageMargins left="0.51181102362204722" right="0.51181102362204722" top="0.39370078740157483" bottom="0.39370078740157483" header="0.31496062992125984" footer="0.31496062992125984"/>
  <pageSetup paperSize="9" scale="61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C1F83-C5B1-4F57-9B43-519A6D9503F4}">
  <sheetPr>
    <pageSetUpPr fitToPage="1"/>
  </sheetPr>
  <dimension ref="A1:Z47"/>
  <sheetViews>
    <sheetView showGridLines="0" zoomScaleNormal="100" workbookViewId="0">
      <pane xSplit="2" ySplit="6" topLeftCell="C7" activePane="bottomRight" state="frozen"/>
      <selection activeCell="I3" sqref="I3:N3"/>
      <selection pane="topRight" activeCell="I3" sqref="I3:N3"/>
      <selection pane="bottomLeft" activeCell="I3" sqref="I3:N3"/>
      <selection pane="bottomRight" activeCell="I3" sqref="I3:N3"/>
    </sheetView>
  </sheetViews>
  <sheetFormatPr defaultColWidth="0" defaultRowHeight="0" customHeight="1" zeroHeight="1" x14ac:dyDescent="0.35"/>
  <cols>
    <col min="1" max="1" width="1.81640625" customWidth="1"/>
    <col min="2" max="2" width="11.54296875" customWidth="1"/>
    <col min="3" max="4" width="1.453125" customWidth="1"/>
    <col min="5" max="8" width="11.90625" customWidth="1"/>
    <col min="9" max="9" width="15" customWidth="1"/>
    <col min="10" max="11" width="11.90625" customWidth="1"/>
    <col min="12" max="12" width="13" customWidth="1"/>
    <col min="13" max="13" width="11.90625" customWidth="1"/>
    <col min="14" max="14" width="13.54296875" customWidth="1"/>
    <col min="15" max="15" width="2.26953125" customWidth="1"/>
    <col min="16" max="26" width="0" hidden="1" customWidth="1"/>
    <col min="27" max="16384" width="8.7265625" hidden="1"/>
  </cols>
  <sheetData>
    <row r="1" spans="2:22" ht="32.15" customHeight="1" x14ac:dyDescent="0.35">
      <c r="B1" s="87" t="s">
        <v>0</v>
      </c>
      <c r="C1" s="87"/>
      <c r="D1" s="87"/>
      <c r="E1" s="87"/>
      <c r="F1" s="87"/>
      <c r="G1" s="87"/>
      <c r="H1" s="87"/>
      <c r="I1" s="110"/>
      <c r="J1" s="110"/>
      <c r="K1" s="110"/>
      <c r="L1" s="110"/>
      <c r="M1" s="110"/>
      <c r="N1" s="110"/>
    </row>
    <row r="2" spans="2:22" ht="10.5" customHeight="1" x14ac:dyDescent="0.35">
      <c r="B2" s="1"/>
      <c r="E2" s="2"/>
      <c r="F2" s="2"/>
      <c r="G2" s="2"/>
      <c r="H2" s="2"/>
      <c r="I2" s="2"/>
    </row>
    <row r="3" spans="2:22" ht="32.15" customHeight="1" x14ac:dyDescent="0.35">
      <c r="B3" s="87" t="s">
        <v>1</v>
      </c>
      <c r="C3" s="87"/>
      <c r="D3" s="87"/>
      <c r="E3" s="87"/>
      <c r="F3" s="87"/>
      <c r="G3" s="87"/>
      <c r="H3" s="87"/>
      <c r="I3" s="110"/>
      <c r="J3" s="110"/>
      <c r="K3" s="110"/>
      <c r="L3" s="110"/>
      <c r="M3" s="110"/>
      <c r="N3" s="110"/>
    </row>
    <row r="4" spans="2:22" ht="10.5" customHeight="1" thickBot="1" x14ac:dyDescent="0.4">
      <c r="B4" s="3"/>
    </row>
    <row r="5" spans="2:22" ht="13.5" customHeight="1" x14ac:dyDescent="0.35">
      <c r="B5" s="111" t="s">
        <v>4</v>
      </c>
      <c r="E5" s="107" t="s">
        <v>28</v>
      </c>
      <c r="F5" s="108"/>
      <c r="G5" s="107" t="s">
        <v>27</v>
      </c>
      <c r="H5" s="109"/>
      <c r="I5" s="108"/>
      <c r="J5" s="107" t="s">
        <v>3</v>
      </c>
      <c r="K5" s="109"/>
      <c r="L5" s="109"/>
      <c r="M5" s="108"/>
      <c r="N5" s="105" t="s">
        <v>26</v>
      </c>
    </row>
    <row r="6" spans="2:22" ht="27" customHeight="1" thickBot="1" x14ac:dyDescent="0.4">
      <c r="B6" s="112"/>
      <c r="C6" s="5"/>
      <c r="D6" s="5"/>
      <c r="E6" s="60" t="s">
        <v>5</v>
      </c>
      <c r="F6" s="61" t="s">
        <v>6</v>
      </c>
      <c r="G6" s="60" t="s">
        <v>5</v>
      </c>
      <c r="H6" s="59" t="s">
        <v>51</v>
      </c>
      <c r="I6" s="61" t="s">
        <v>8</v>
      </c>
      <c r="J6" s="60" t="s">
        <v>7</v>
      </c>
      <c r="K6" s="59" t="s">
        <v>6</v>
      </c>
      <c r="L6" s="59" t="s">
        <v>50</v>
      </c>
      <c r="M6" s="61" t="s">
        <v>9</v>
      </c>
      <c r="N6" s="106"/>
    </row>
    <row r="7" spans="2:22" ht="14.5" x14ac:dyDescent="0.35">
      <c r="B7" s="74">
        <v>1</v>
      </c>
      <c r="C7" s="9"/>
      <c r="D7" s="9"/>
      <c r="E7" s="62"/>
      <c r="F7" s="63"/>
      <c r="G7" s="62"/>
      <c r="H7" s="54"/>
      <c r="I7" s="63"/>
      <c r="J7" s="62"/>
      <c r="K7" s="54"/>
      <c r="L7" s="54"/>
      <c r="M7" s="63"/>
      <c r="N7" s="71">
        <f>G7+E7+J7</f>
        <v>0</v>
      </c>
      <c r="V7" t="s">
        <v>10</v>
      </c>
    </row>
    <row r="8" spans="2:22" ht="14.5" x14ac:dyDescent="0.35">
      <c r="B8" s="75">
        <v>2</v>
      </c>
      <c r="C8" s="9"/>
      <c r="D8" s="9"/>
      <c r="E8" s="62"/>
      <c r="F8" s="63"/>
      <c r="G8" s="62"/>
      <c r="H8" s="54"/>
      <c r="I8" s="63"/>
      <c r="J8" s="62"/>
      <c r="K8" s="54"/>
      <c r="L8" s="54"/>
      <c r="M8" s="63"/>
      <c r="N8" s="71">
        <f>G8+E8+J8</f>
        <v>0</v>
      </c>
      <c r="V8" t="s">
        <v>11</v>
      </c>
    </row>
    <row r="9" spans="2:22" ht="14.5" x14ac:dyDescent="0.35">
      <c r="B9" s="75">
        <v>3</v>
      </c>
      <c r="C9" s="9"/>
      <c r="D9" s="9"/>
      <c r="E9" s="62"/>
      <c r="F9" s="63"/>
      <c r="G9" s="62"/>
      <c r="H9" s="54"/>
      <c r="I9" s="63"/>
      <c r="J9" s="62"/>
      <c r="K9" s="54"/>
      <c r="L9" s="54"/>
      <c r="M9" s="63"/>
      <c r="N9" s="71">
        <f>G9+E9+J9</f>
        <v>0</v>
      </c>
      <c r="V9" t="s">
        <v>2</v>
      </c>
    </row>
    <row r="10" spans="2:22" ht="14.5" x14ac:dyDescent="0.35">
      <c r="B10" s="75">
        <v>4</v>
      </c>
      <c r="C10" s="9"/>
      <c r="D10" s="9"/>
      <c r="E10" s="62"/>
      <c r="F10" s="63"/>
      <c r="G10" s="62"/>
      <c r="H10" s="54"/>
      <c r="I10" s="63"/>
      <c r="J10" s="62"/>
      <c r="K10" s="54"/>
      <c r="L10" s="54"/>
      <c r="M10" s="63"/>
      <c r="N10" s="71">
        <f t="shared" ref="N10:N37" si="0">G10+E10+J10</f>
        <v>0</v>
      </c>
      <c r="V10" t="s">
        <v>12</v>
      </c>
    </row>
    <row r="11" spans="2:22" ht="14.5" x14ac:dyDescent="0.35">
      <c r="B11" s="75">
        <v>5</v>
      </c>
      <c r="C11" s="9"/>
      <c r="D11" s="9"/>
      <c r="E11" s="62"/>
      <c r="F11" s="63"/>
      <c r="G11" s="62"/>
      <c r="H11" s="54"/>
      <c r="I11" s="63"/>
      <c r="J11" s="62"/>
      <c r="K11" s="54"/>
      <c r="L11" s="54"/>
      <c r="M11" s="63"/>
      <c r="N11" s="71">
        <f t="shared" si="0"/>
        <v>0</v>
      </c>
      <c r="V11" t="s">
        <v>13</v>
      </c>
    </row>
    <row r="12" spans="2:22" ht="14.5" x14ac:dyDescent="0.35">
      <c r="B12" s="76">
        <v>6</v>
      </c>
      <c r="C12" s="9"/>
      <c r="D12" s="9"/>
      <c r="E12" s="62"/>
      <c r="F12" s="63"/>
      <c r="G12" s="62"/>
      <c r="H12" s="54"/>
      <c r="I12" s="63"/>
      <c r="J12" s="62"/>
      <c r="K12" s="54"/>
      <c r="L12" s="54"/>
      <c r="M12" s="63"/>
      <c r="N12" s="71">
        <f t="shared" si="0"/>
        <v>0</v>
      </c>
      <c r="V12" t="s">
        <v>14</v>
      </c>
    </row>
    <row r="13" spans="2:22" ht="14.5" x14ac:dyDescent="0.35">
      <c r="B13" s="75">
        <v>7</v>
      </c>
      <c r="C13" s="9"/>
      <c r="D13" s="9"/>
      <c r="E13" s="62"/>
      <c r="F13" s="63"/>
      <c r="G13" s="62"/>
      <c r="H13" s="54"/>
      <c r="I13" s="63"/>
      <c r="J13" s="62"/>
      <c r="K13" s="54"/>
      <c r="L13" s="54"/>
      <c r="M13" s="63"/>
      <c r="N13" s="71">
        <f t="shared" si="0"/>
        <v>0</v>
      </c>
      <c r="V13" t="s">
        <v>15</v>
      </c>
    </row>
    <row r="14" spans="2:22" ht="14.5" x14ac:dyDescent="0.35">
      <c r="B14" s="75">
        <v>8</v>
      </c>
      <c r="E14" s="62"/>
      <c r="F14" s="63"/>
      <c r="G14" s="62"/>
      <c r="H14" s="54"/>
      <c r="I14" s="63"/>
      <c r="J14" s="62"/>
      <c r="K14" s="54"/>
      <c r="L14" s="54"/>
      <c r="M14" s="63"/>
      <c r="N14" s="71">
        <f t="shared" si="0"/>
        <v>0</v>
      </c>
      <c r="V14" t="s">
        <v>16</v>
      </c>
    </row>
    <row r="15" spans="2:22" ht="14.5" x14ac:dyDescent="0.35">
      <c r="B15" s="75">
        <v>9</v>
      </c>
      <c r="E15" s="62"/>
      <c r="F15" s="63"/>
      <c r="G15" s="62"/>
      <c r="H15" s="54"/>
      <c r="I15" s="63"/>
      <c r="J15" s="62"/>
      <c r="K15" s="54"/>
      <c r="L15" s="54"/>
      <c r="M15" s="63"/>
      <c r="N15" s="71">
        <f t="shared" si="0"/>
        <v>0</v>
      </c>
      <c r="V15" t="s">
        <v>17</v>
      </c>
    </row>
    <row r="16" spans="2:22" ht="14.5" x14ac:dyDescent="0.35">
      <c r="B16" s="75">
        <v>10</v>
      </c>
      <c r="E16" s="62"/>
      <c r="F16" s="63"/>
      <c r="G16" s="62"/>
      <c r="H16" s="54"/>
      <c r="I16" s="63"/>
      <c r="J16" s="62"/>
      <c r="K16" s="54"/>
      <c r="L16" s="54"/>
      <c r="M16" s="63"/>
      <c r="N16" s="71">
        <f t="shared" si="0"/>
        <v>0</v>
      </c>
      <c r="V16" t="s">
        <v>18</v>
      </c>
    </row>
    <row r="17" spans="2:22" ht="14.5" x14ac:dyDescent="0.35">
      <c r="B17" s="75">
        <v>11</v>
      </c>
      <c r="E17" s="62"/>
      <c r="F17" s="63"/>
      <c r="G17" s="62"/>
      <c r="H17" s="54"/>
      <c r="I17" s="63"/>
      <c r="J17" s="62"/>
      <c r="K17" s="54"/>
      <c r="L17" s="54"/>
      <c r="M17" s="63"/>
      <c r="N17" s="71">
        <f t="shared" si="0"/>
        <v>0</v>
      </c>
      <c r="V17" t="s">
        <v>19</v>
      </c>
    </row>
    <row r="18" spans="2:22" ht="14.5" x14ac:dyDescent="0.35">
      <c r="B18" s="75">
        <v>12</v>
      </c>
      <c r="E18" s="62"/>
      <c r="F18" s="63"/>
      <c r="G18" s="62"/>
      <c r="H18" s="54"/>
      <c r="I18" s="63"/>
      <c r="J18" s="62"/>
      <c r="K18" s="54"/>
      <c r="L18" s="54"/>
      <c r="M18" s="63"/>
      <c r="N18" s="71">
        <f t="shared" si="0"/>
        <v>0</v>
      </c>
      <c r="V18" t="s">
        <v>20</v>
      </c>
    </row>
    <row r="19" spans="2:22" ht="14.5" x14ac:dyDescent="0.35">
      <c r="B19" s="75">
        <v>13</v>
      </c>
      <c r="E19" s="62"/>
      <c r="F19" s="63"/>
      <c r="G19" s="62"/>
      <c r="H19" s="54"/>
      <c r="I19" s="63"/>
      <c r="J19" s="62"/>
      <c r="K19" s="54"/>
      <c r="L19" s="54"/>
      <c r="M19" s="63"/>
      <c r="N19" s="71">
        <f t="shared" si="0"/>
        <v>0</v>
      </c>
    </row>
    <row r="20" spans="2:22" ht="14.5" x14ac:dyDescent="0.35">
      <c r="B20" s="76">
        <v>14</v>
      </c>
      <c r="E20" s="62"/>
      <c r="F20" s="63"/>
      <c r="G20" s="62"/>
      <c r="H20" s="54"/>
      <c r="I20" s="63"/>
      <c r="J20" s="62"/>
      <c r="K20" s="54"/>
      <c r="L20" s="54"/>
      <c r="M20" s="63"/>
      <c r="N20" s="71">
        <f t="shared" si="0"/>
        <v>0</v>
      </c>
    </row>
    <row r="21" spans="2:22" ht="14.5" x14ac:dyDescent="0.35">
      <c r="B21" s="75">
        <v>15</v>
      </c>
      <c r="E21" s="62"/>
      <c r="F21" s="63"/>
      <c r="G21" s="62"/>
      <c r="H21" s="54"/>
      <c r="I21" s="63"/>
      <c r="J21" s="62"/>
      <c r="K21" s="54"/>
      <c r="L21" s="54"/>
      <c r="M21" s="63"/>
      <c r="N21" s="71">
        <f t="shared" si="0"/>
        <v>0</v>
      </c>
    </row>
    <row r="22" spans="2:22" ht="14.5" x14ac:dyDescent="0.35">
      <c r="B22" s="75">
        <v>16</v>
      </c>
      <c r="E22" s="62"/>
      <c r="F22" s="63"/>
      <c r="G22" s="62"/>
      <c r="H22" s="54"/>
      <c r="I22" s="63"/>
      <c r="J22" s="62"/>
      <c r="K22" s="54"/>
      <c r="L22" s="54"/>
      <c r="M22" s="63"/>
      <c r="N22" s="71">
        <f t="shared" si="0"/>
        <v>0</v>
      </c>
    </row>
    <row r="23" spans="2:22" ht="14.5" x14ac:dyDescent="0.35">
      <c r="B23" s="75">
        <v>17</v>
      </c>
      <c r="E23" s="62"/>
      <c r="F23" s="63"/>
      <c r="G23" s="62"/>
      <c r="H23" s="54"/>
      <c r="I23" s="63"/>
      <c r="J23" s="62"/>
      <c r="K23" s="54"/>
      <c r="L23" s="54"/>
      <c r="M23" s="63"/>
      <c r="N23" s="71">
        <f t="shared" si="0"/>
        <v>0</v>
      </c>
    </row>
    <row r="24" spans="2:22" ht="14.5" x14ac:dyDescent="0.35">
      <c r="B24" s="75">
        <v>18</v>
      </c>
      <c r="E24" s="62"/>
      <c r="F24" s="63"/>
      <c r="G24" s="62"/>
      <c r="H24" s="54"/>
      <c r="I24" s="63"/>
      <c r="J24" s="62"/>
      <c r="K24" s="54"/>
      <c r="L24" s="54"/>
      <c r="M24" s="63"/>
      <c r="N24" s="71">
        <f t="shared" si="0"/>
        <v>0</v>
      </c>
    </row>
    <row r="25" spans="2:22" ht="14.5" x14ac:dyDescent="0.35">
      <c r="B25" s="75">
        <v>19</v>
      </c>
      <c r="E25" s="62"/>
      <c r="F25" s="63"/>
      <c r="G25" s="62"/>
      <c r="H25" s="54"/>
      <c r="I25" s="63"/>
      <c r="J25" s="62"/>
      <c r="K25" s="54"/>
      <c r="L25" s="54"/>
      <c r="M25" s="63"/>
      <c r="N25" s="71">
        <f t="shared" si="0"/>
        <v>0</v>
      </c>
    </row>
    <row r="26" spans="2:22" ht="14.5" x14ac:dyDescent="0.35">
      <c r="B26" s="75">
        <v>20</v>
      </c>
      <c r="E26" s="62"/>
      <c r="F26" s="63"/>
      <c r="G26" s="62"/>
      <c r="H26" s="54"/>
      <c r="I26" s="63"/>
      <c r="J26" s="62"/>
      <c r="K26" s="54"/>
      <c r="L26" s="54"/>
      <c r="M26" s="63"/>
      <c r="N26" s="71">
        <f t="shared" si="0"/>
        <v>0</v>
      </c>
    </row>
    <row r="27" spans="2:22" ht="14.5" x14ac:dyDescent="0.35">
      <c r="B27" s="75">
        <v>21</v>
      </c>
      <c r="E27" s="62"/>
      <c r="F27" s="63"/>
      <c r="G27" s="62"/>
      <c r="H27" s="54"/>
      <c r="I27" s="63"/>
      <c r="J27" s="62"/>
      <c r="K27" s="54"/>
      <c r="L27" s="54"/>
      <c r="M27" s="63"/>
      <c r="N27" s="71">
        <f t="shared" si="0"/>
        <v>0</v>
      </c>
    </row>
    <row r="28" spans="2:22" ht="14.5" x14ac:dyDescent="0.35">
      <c r="B28" s="76">
        <v>22</v>
      </c>
      <c r="E28" s="62"/>
      <c r="F28" s="63"/>
      <c r="G28" s="62"/>
      <c r="H28" s="54"/>
      <c r="I28" s="63"/>
      <c r="J28" s="62"/>
      <c r="K28" s="54"/>
      <c r="L28" s="54"/>
      <c r="M28" s="63"/>
      <c r="N28" s="71">
        <f t="shared" si="0"/>
        <v>0</v>
      </c>
    </row>
    <row r="29" spans="2:22" ht="14.5" x14ac:dyDescent="0.35">
      <c r="B29" s="75">
        <v>23</v>
      </c>
      <c r="E29" s="62"/>
      <c r="F29" s="63"/>
      <c r="G29" s="62"/>
      <c r="H29" s="54"/>
      <c r="I29" s="63"/>
      <c r="J29" s="62"/>
      <c r="K29" s="54"/>
      <c r="L29" s="54"/>
      <c r="M29" s="63"/>
      <c r="N29" s="71">
        <f t="shared" si="0"/>
        <v>0</v>
      </c>
    </row>
    <row r="30" spans="2:22" ht="14.5" x14ac:dyDescent="0.35">
      <c r="B30" s="75">
        <v>24</v>
      </c>
      <c r="E30" s="62"/>
      <c r="F30" s="63"/>
      <c r="G30" s="62"/>
      <c r="H30" s="54"/>
      <c r="I30" s="63"/>
      <c r="J30" s="62"/>
      <c r="K30" s="54"/>
      <c r="L30" s="54"/>
      <c r="M30" s="63"/>
      <c r="N30" s="71">
        <f t="shared" si="0"/>
        <v>0</v>
      </c>
    </row>
    <row r="31" spans="2:22" ht="14.5" x14ac:dyDescent="0.35">
      <c r="B31" s="75">
        <v>25</v>
      </c>
      <c r="E31" s="62"/>
      <c r="F31" s="63"/>
      <c r="G31" s="62"/>
      <c r="H31" s="54"/>
      <c r="I31" s="63"/>
      <c r="J31" s="62"/>
      <c r="K31" s="54"/>
      <c r="L31" s="54"/>
      <c r="M31" s="63"/>
      <c r="N31" s="71">
        <f t="shared" si="0"/>
        <v>0</v>
      </c>
    </row>
    <row r="32" spans="2:22" ht="14.5" x14ac:dyDescent="0.35">
      <c r="B32" s="75">
        <v>26</v>
      </c>
      <c r="E32" s="62"/>
      <c r="F32" s="63"/>
      <c r="G32" s="62"/>
      <c r="H32" s="54"/>
      <c r="I32" s="63"/>
      <c r="J32" s="62"/>
      <c r="K32" s="54"/>
      <c r="L32" s="54"/>
      <c r="M32" s="63"/>
      <c r="N32" s="71">
        <f t="shared" si="0"/>
        <v>0</v>
      </c>
    </row>
    <row r="33" spans="2:14" ht="14.5" x14ac:dyDescent="0.35">
      <c r="B33" s="75">
        <v>27</v>
      </c>
      <c r="E33" s="62"/>
      <c r="F33" s="63"/>
      <c r="G33" s="62"/>
      <c r="H33" s="54"/>
      <c r="I33" s="63"/>
      <c r="J33" s="62"/>
      <c r="K33" s="54"/>
      <c r="L33" s="54"/>
      <c r="M33" s="63"/>
      <c r="N33" s="71">
        <f t="shared" si="0"/>
        <v>0</v>
      </c>
    </row>
    <row r="34" spans="2:14" ht="14.5" x14ac:dyDescent="0.35">
      <c r="B34" s="75">
        <v>28</v>
      </c>
      <c r="E34" s="62"/>
      <c r="F34" s="63"/>
      <c r="G34" s="62"/>
      <c r="H34" s="54"/>
      <c r="I34" s="63"/>
      <c r="J34" s="62"/>
      <c r="K34" s="54"/>
      <c r="L34" s="54"/>
      <c r="M34" s="63"/>
      <c r="N34" s="71">
        <f t="shared" si="0"/>
        <v>0</v>
      </c>
    </row>
    <row r="35" spans="2:14" ht="14.5" x14ac:dyDescent="0.35">
      <c r="B35" s="75">
        <v>29</v>
      </c>
      <c r="E35" s="62"/>
      <c r="F35" s="63"/>
      <c r="G35" s="62"/>
      <c r="H35" s="54"/>
      <c r="I35" s="63"/>
      <c r="J35" s="62"/>
      <c r="K35" s="54"/>
      <c r="L35" s="54"/>
      <c r="M35" s="63"/>
      <c r="N35" s="71">
        <f t="shared" si="0"/>
        <v>0</v>
      </c>
    </row>
    <row r="36" spans="2:14" ht="14.5" x14ac:dyDescent="0.35">
      <c r="B36" s="76">
        <v>30</v>
      </c>
      <c r="E36" s="62"/>
      <c r="F36" s="63"/>
      <c r="G36" s="62"/>
      <c r="H36" s="54"/>
      <c r="I36" s="63"/>
      <c r="J36" s="62"/>
      <c r="K36" s="54"/>
      <c r="L36" s="54"/>
      <c r="M36" s="63"/>
      <c r="N36" s="71">
        <f t="shared" si="0"/>
        <v>0</v>
      </c>
    </row>
    <row r="37" spans="2:14" ht="15" thickBot="1" x14ac:dyDescent="0.4">
      <c r="B37" s="77">
        <v>31</v>
      </c>
      <c r="E37" s="64"/>
      <c r="F37" s="66"/>
      <c r="G37" s="64"/>
      <c r="H37" s="84"/>
      <c r="I37" s="66"/>
      <c r="J37" s="64"/>
      <c r="K37" s="65"/>
      <c r="L37" s="65"/>
      <c r="M37" s="66"/>
      <c r="N37" s="72">
        <f t="shared" si="0"/>
        <v>0</v>
      </c>
    </row>
    <row r="38" spans="2:14" ht="14.5" customHeight="1" thickBot="1" x14ac:dyDescent="0.4"/>
    <row r="39" spans="2:14" ht="19" customHeight="1" thickBot="1" x14ac:dyDescent="0.4">
      <c r="B39" s="73" t="s">
        <v>44</v>
      </c>
      <c r="E39" s="67">
        <f>SUM(E7:E16)</f>
        <v>0</v>
      </c>
      <c r="F39" s="69">
        <f t="shared" ref="F39:N39" si="1">SUM(F7:F16)</f>
        <v>0</v>
      </c>
      <c r="G39" s="67">
        <f t="shared" si="1"/>
        <v>0</v>
      </c>
      <c r="H39" s="68">
        <f t="shared" si="1"/>
        <v>0</v>
      </c>
      <c r="I39" s="69">
        <f t="shared" si="1"/>
        <v>0</v>
      </c>
      <c r="J39" s="67">
        <f t="shared" si="1"/>
        <v>0</v>
      </c>
      <c r="K39" s="68">
        <f t="shared" si="1"/>
        <v>0</v>
      </c>
      <c r="L39" s="68">
        <f t="shared" si="1"/>
        <v>0</v>
      </c>
      <c r="M39" s="69">
        <f t="shared" si="1"/>
        <v>0</v>
      </c>
      <c r="N39" s="70">
        <f t="shared" si="1"/>
        <v>0</v>
      </c>
    </row>
    <row r="40" spans="2:14" ht="7" customHeight="1" thickBot="1" x14ac:dyDescent="0.4">
      <c r="E40" s="17"/>
      <c r="G40" s="17"/>
      <c r="J40" s="17"/>
      <c r="N40" s="17"/>
    </row>
    <row r="41" spans="2:14" ht="19" customHeight="1" thickBot="1" x14ac:dyDescent="0.4">
      <c r="B41" s="73" t="s">
        <v>45</v>
      </c>
      <c r="E41" s="67">
        <f>SUM(E17:E26)</f>
        <v>0</v>
      </c>
      <c r="F41" s="69">
        <f t="shared" ref="F41:N41" si="2">SUM(F17:F26)</f>
        <v>0</v>
      </c>
      <c r="G41" s="67">
        <f t="shared" si="2"/>
        <v>0</v>
      </c>
      <c r="H41" s="68">
        <f t="shared" si="2"/>
        <v>0</v>
      </c>
      <c r="I41" s="69">
        <f t="shared" si="2"/>
        <v>0</v>
      </c>
      <c r="J41" s="67">
        <f t="shared" si="2"/>
        <v>0</v>
      </c>
      <c r="K41" s="68">
        <f t="shared" si="2"/>
        <v>0</v>
      </c>
      <c r="L41" s="68">
        <f t="shared" si="2"/>
        <v>0</v>
      </c>
      <c r="M41" s="69">
        <f t="shared" si="2"/>
        <v>0</v>
      </c>
      <c r="N41" s="70">
        <f t="shared" si="2"/>
        <v>0</v>
      </c>
    </row>
    <row r="42" spans="2:14" ht="7" customHeight="1" thickBot="1" x14ac:dyDescent="0.4">
      <c r="E42" s="17"/>
      <c r="G42" s="17"/>
      <c r="J42" s="17"/>
      <c r="N42" s="17"/>
    </row>
    <row r="43" spans="2:14" ht="19" customHeight="1" thickBot="1" x14ac:dyDescent="0.4">
      <c r="B43" s="73" t="s">
        <v>46</v>
      </c>
      <c r="E43" s="67">
        <f>SUM(E27:E37)</f>
        <v>0</v>
      </c>
      <c r="F43" s="69">
        <f t="shared" ref="F43:N43" si="3">SUM(F27:F37)</f>
        <v>0</v>
      </c>
      <c r="G43" s="67">
        <f t="shared" si="3"/>
        <v>0</v>
      </c>
      <c r="H43" s="68">
        <f t="shared" si="3"/>
        <v>0</v>
      </c>
      <c r="I43" s="69">
        <f t="shared" si="3"/>
        <v>0</v>
      </c>
      <c r="J43" s="67">
        <f t="shared" si="3"/>
        <v>0</v>
      </c>
      <c r="K43" s="68">
        <f t="shared" si="3"/>
        <v>0</v>
      </c>
      <c r="L43" s="68">
        <f t="shared" si="3"/>
        <v>0</v>
      </c>
      <c r="M43" s="69">
        <f t="shared" si="3"/>
        <v>0</v>
      </c>
      <c r="N43" s="70">
        <f t="shared" si="3"/>
        <v>0</v>
      </c>
    </row>
    <row r="44" spans="2:14" ht="7" customHeight="1" thickBot="1" x14ac:dyDescent="0.4">
      <c r="E44" s="17"/>
      <c r="G44" s="17"/>
      <c r="J44" s="17"/>
      <c r="N44" s="17"/>
    </row>
    <row r="45" spans="2:14" ht="26.5" customHeight="1" thickBot="1" x14ac:dyDescent="0.4">
      <c r="B45" s="78" t="s">
        <v>24</v>
      </c>
      <c r="E45" s="15">
        <f>E39+E41+E43</f>
        <v>0</v>
      </c>
      <c r="F45" s="15">
        <f t="shared" ref="F45:M45" si="4">F39+F41+F43</f>
        <v>0</v>
      </c>
      <c r="G45" s="15">
        <f t="shared" si="4"/>
        <v>0</v>
      </c>
      <c r="H45" s="15">
        <f t="shared" si="4"/>
        <v>0</v>
      </c>
      <c r="I45" s="15">
        <f t="shared" si="4"/>
        <v>0</v>
      </c>
      <c r="J45" s="15">
        <f t="shared" si="4"/>
        <v>0</v>
      </c>
      <c r="K45" s="15">
        <f t="shared" si="4"/>
        <v>0</v>
      </c>
      <c r="L45" s="15">
        <f t="shared" si="4"/>
        <v>0</v>
      </c>
      <c r="M45" s="26">
        <f t="shared" si="4"/>
        <v>0</v>
      </c>
      <c r="N45" s="30">
        <f>N39+N41+N43</f>
        <v>0</v>
      </c>
    </row>
    <row r="46" spans="2:14" ht="14.5" customHeight="1" x14ac:dyDescent="0.35"/>
    <row r="47" spans="2:14" ht="14.5" customHeight="1" x14ac:dyDescent="0.35">
      <c r="B47" t="s">
        <v>54</v>
      </c>
    </row>
  </sheetData>
  <sheetProtection sheet="1" objects="1" scenarios="1"/>
  <mergeCells count="9">
    <mergeCell ref="B1:H1"/>
    <mergeCell ref="I1:N1"/>
    <mergeCell ref="B3:H3"/>
    <mergeCell ref="I3:N3"/>
    <mergeCell ref="B5:B6"/>
    <mergeCell ref="E5:F5"/>
    <mergeCell ref="G5:I5"/>
    <mergeCell ref="J5:M5"/>
    <mergeCell ref="N5:N6"/>
  </mergeCells>
  <dataValidations count="2">
    <dataValidation type="list" allowBlank="1" showInputMessage="1" showErrorMessage="1" sqref="E7:M37" xr:uid="{6C43311D-6EF2-476E-9333-08B59E403AD5}">
      <formula1>"0,1,2,3,4,5,6,7,8,9,10,11,12,13,14,15,16,17,18,19,20"</formula1>
    </dataValidation>
    <dataValidation type="list" allowBlank="1" showInputMessage="1" showErrorMessage="1" sqref="I3" xr:uid="{03B72CFD-6041-4D36-A965-74FC9C63337C}">
      <formula1>$V$7:$V$18</formula1>
    </dataValidation>
  </dataValidations>
  <pageMargins left="0.51181102362204722" right="0.51181102362204722" top="0.39370078740157483" bottom="0.39370078740157483" header="0.31496062992125984" footer="0.31496062992125984"/>
  <pageSetup paperSize="9" scale="61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C698F-5484-4616-9E70-176F4A41556F}">
  <sheetPr>
    <pageSetUpPr fitToPage="1"/>
  </sheetPr>
  <dimension ref="A1:Z47"/>
  <sheetViews>
    <sheetView showGridLines="0" zoomScaleNormal="100" workbookViewId="0">
      <pane xSplit="2" ySplit="6" topLeftCell="C7" activePane="bottomRight" state="frozen"/>
      <selection activeCell="I3" sqref="I3:N3"/>
      <selection pane="topRight" activeCell="I3" sqref="I3:N3"/>
      <selection pane="bottomLeft" activeCell="I3" sqref="I3:N3"/>
      <selection pane="bottomRight" activeCell="I3" sqref="I3:N3"/>
    </sheetView>
  </sheetViews>
  <sheetFormatPr defaultColWidth="0" defaultRowHeight="0" customHeight="1" zeroHeight="1" x14ac:dyDescent="0.35"/>
  <cols>
    <col min="1" max="1" width="1.81640625" customWidth="1"/>
    <col min="2" max="2" width="11.54296875" customWidth="1"/>
    <col min="3" max="4" width="1.453125" customWidth="1"/>
    <col min="5" max="8" width="11.90625" customWidth="1"/>
    <col min="9" max="9" width="15" customWidth="1"/>
    <col min="10" max="11" width="11.90625" customWidth="1"/>
    <col min="12" max="12" width="13" customWidth="1"/>
    <col min="13" max="13" width="11.90625" customWidth="1"/>
    <col min="14" max="14" width="13.54296875" customWidth="1"/>
    <col min="15" max="15" width="2.26953125" customWidth="1"/>
    <col min="16" max="26" width="0" hidden="1" customWidth="1"/>
    <col min="27" max="16384" width="8.7265625" hidden="1"/>
  </cols>
  <sheetData>
    <row r="1" spans="2:22" ht="32.15" customHeight="1" x14ac:dyDescent="0.35">
      <c r="B1" s="87" t="s">
        <v>0</v>
      </c>
      <c r="C1" s="87"/>
      <c r="D1" s="87"/>
      <c r="E1" s="87"/>
      <c r="F1" s="87"/>
      <c r="G1" s="87"/>
      <c r="H1" s="87"/>
      <c r="I1" s="110"/>
      <c r="J1" s="110"/>
      <c r="K1" s="110"/>
      <c r="L1" s="110"/>
      <c r="M1" s="110"/>
      <c r="N1" s="110"/>
    </row>
    <row r="2" spans="2:22" ht="10.5" customHeight="1" x14ac:dyDescent="0.35">
      <c r="B2" s="1"/>
      <c r="E2" s="2"/>
      <c r="F2" s="2"/>
      <c r="G2" s="2"/>
      <c r="H2" s="2"/>
      <c r="I2" s="2"/>
    </row>
    <row r="3" spans="2:22" ht="32.15" customHeight="1" x14ac:dyDescent="0.35">
      <c r="B3" s="87" t="s">
        <v>1</v>
      </c>
      <c r="C3" s="87"/>
      <c r="D3" s="87"/>
      <c r="E3" s="87"/>
      <c r="F3" s="87"/>
      <c r="G3" s="87"/>
      <c r="H3" s="87"/>
      <c r="I3" s="110"/>
      <c r="J3" s="110"/>
      <c r="K3" s="110"/>
      <c r="L3" s="110"/>
      <c r="M3" s="110"/>
      <c r="N3" s="110"/>
    </row>
    <row r="4" spans="2:22" ht="10.5" customHeight="1" thickBot="1" x14ac:dyDescent="0.4">
      <c r="B4" s="3"/>
    </row>
    <row r="5" spans="2:22" ht="13.5" customHeight="1" x14ac:dyDescent="0.35">
      <c r="B5" s="111" t="s">
        <v>4</v>
      </c>
      <c r="E5" s="107" t="s">
        <v>28</v>
      </c>
      <c r="F5" s="108"/>
      <c r="G5" s="107" t="s">
        <v>27</v>
      </c>
      <c r="H5" s="109"/>
      <c r="I5" s="108"/>
      <c r="J5" s="107" t="s">
        <v>3</v>
      </c>
      <c r="K5" s="109"/>
      <c r="L5" s="109"/>
      <c r="M5" s="108"/>
      <c r="N5" s="105" t="s">
        <v>26</v>
      </c>
    </row>
    <row r="6" spans="2:22" ht="27" customHeight="1" thickBot="1" x14ac:dyDescent="0.4">
      <c r="B6" s="112"/>
      <c r="C6" s="5"/>
      <c r="D6" s="5"/>
      <c r="E6" s="60" t="s">
        <v>5</v>
      </c>
      <c r="F6" s="61" t="s">
        <v>6</v>
      </c>
      <c r="G6" s="60" t="s">
        <v>5</v>
      </c>
      <c r="H6" s="59" t="s">
        <v>51</v>
      </c>
      <c r="I6" s="61" t="s">
        <v>8</v>
      </c>
      <c r="J6" s="60" t="s">
        <v>7</v>
      </c>
      <c r="K6" s="59" t="s">
        <v>6</v>
      </c>
      <c r="L6" s="59" t="s">
        <v>50</v>
      </c>
      <c r="M6" s="61" t="s">
        <v>9</v>
      </c>
      <c r="N6" s="106"/>
    </row>
    <row r="7" spans="2:22" ht="14.5" x14ac:dyDescent="0.35">
      <c r="B7" s="74">
        <v>1</v>
      </c>
      <c r="C7" s="9"/>
      <c r="D7" s="9"/>
      <c r="E7" s="62"/>
      <c r="F7" s="63"/>
      <c r="G7" s="62"/>
      <c r="H7" s="54"/>
      <c r="I7" s="63"/>
      <c r="J7" s="62"/>
      <c r="K7" s="54"/>
      <c r="L7" s="54"/>
      <c r="M7" s="63"/>
      <c r="N7" s="71">
        <f>G7+E7+J7</f>
        <v>0</v>
      </c>
      <c r="V7" t="s">
        <v>10</v>
      </c>
    </row>
    <row r="8" spans="2:22" ht="14.5" x14ac:dyDescent="0.35">
      <c r="B8" s="75">
        <v>2</v>
      </c>
      <c r="C8" s="9"/>
      <c r="D8" s="9"/>
      <c r="E8" s="62"/>
      <c r="F8" s="63"/>
      <c r="G8" s="62"/>
      <c r="H8" s="54"/>
      <c r="I8" s="63"/>
      <c r="J8" s="62"/>
      <c r="K8" s="54"/>
      <c r="L8" s="54"/>
      <c r="M8" s="63"/>
      <c r="N8" s="71">
        <f>G8+E8+J8</f>
        <v>0</v>
      </c>
      <c r="V8" t="s">
        <v>11</v>
      </c>
    </row>
    <row r="9" spans="2:22" ht="14.5" x14ac:dyDescent="0.35">
      <c r="B9" s="75">
        <v>3</v>
      </c>
      <c r="C9" s="9"/>
      <c r="D9" s="9"/>
      <c r="E9" s="62"/>
      <c r="F9" s="63"/>
      <c r="G9" s="62"/>
      <c r="H9" s="54"/>
      <c r="I9" s="63"/>
      <c r="J9" s="62"/>
      <c r="K9" s="54"/>
      <c r="L9" s="54"/>
      <c r="M9" s="63"/>
      <c r="N9" s="71">
        <f>G9+E9+J9</f>
        <v>0</v>
      </c>
      <c r="V9" t="s">
        <v>2</v>
      </c>
    </row>
    <row r="10" spans="2:22" ht="14.5" x14ac:dyDescent="0.35">
      <c r="B10" s="75">
        <v>4</v>
      </c>
      <c r="C10" s="9"/>
      <c r="D10" s="9"/>
      <c r="E10" s="62"/>
      <c r="F10" s="63"/>
      <c r="G10" s="62"/>
      <c r="H10" s="54"/>
      <c r="I10" s="63"/>
      <c r="J10" s="62"/>
      <c r="K10" s="54"/>
      <c r="L10" s="54"/>
      <c r="M10" s="63"/>
      <c r="N10" s="71">
        <f t="shared" ref="N10:N37" si="0">G10+E10+J10</f>
        <v>0</v>
      </c>
      <c r="V10" t="s">
        <v>12</v>
      </c>
    </row>
    <row r="11" spans="2:22" ht="14.5" x14ac:dyDescent="0.35">
      <c r="B11" s="75">
        <v>5</v>
      </c>
      <c r="C11" s="9"/>
      <c r="D11" s="9"/>
      <c r="E11" s="62"/>
      <c r="F11" s="63"/>
      <c r="G11" s="62"/>
      <c r="H11" s="54"/>
      <c r="I11" s="63"/>
      <c r="J11" s="62"/>
      <c r="K11" s="54"/>
      <c r="L11" s="54"/>
      <c r="M11" s="63"/>
      <c r="N11" s="71">
        <f t="shared" si="0"/>
        <v>0</v>
      </c>
      <c r="V11" t="s">
        <v>13</v>
      </c>
    </row>
    <row r="12" spans="2:22" ht="14.5" x14ac:dyDescent="0.35">
      <c r="B12" s="76">
        <v>6</v>
      </c>
      <c r="C12" s="9"/>
      <c r="D12" s="9"/>
      <c r="E12" s="62"/>
      <c r="F12" s="63"/>
      <c r="G12" s="62"/>
      <c r="H12" s="54"/>
      <c r="I12" s="63"/>
      <c r="J12" s="62"/>
      <c r="K12" s="54"/>
      <c r="L12" s="54"/>
      <c r="M12" s="63"/>
      <c r="N12" s="71">
        <f t="shared" si="0"/>
        <v>0</v>
      </c>
      <c r="V12" t="s">
        <v>14</v>
      </c>
    </row>
    <row r="13" spans="2:22" ht="14.5" x14ac:dyDescent="0.35">
      <c r="B13" s="75">
        <v>7</v>
      </c>
      <c r="C13" s="9"/>
      <c r="D13" s="9"/>
      <c r="E13" s="62"/>
      <c r="F13" s="63"/>
      <c r="G13" s="62"/>
      <c r="H13" s="54"/>
      <c r="I13" s="63"/>
      <c r="J13" s="62"/>
      <c r="K13" s="54"/>
      <c r="L13" s="54"/>
      <c r="M13" s="63"/>
      <c r="N13" s="71">
        <f t="shared" si="0"/>
        <v>0</v>
      </c>
      <c r="V13" t="s">
        <v>15</v>
      </c>
    </row>
    <row r="14" spans="2:22" ht="14.5" x14ac:dyDescent="0.35">
      <c r="B14" s="75">
        <v>8</v>
      </c>
      <c r="E14" s="62"/>
      <c r="F14" s="63"/>
      <c r="G14" s="62"/>
      <c r="H14" s="54"/>
      <c r="I14" s="63"/>
      <c r="J14" s="62"/>
      <c r="K14" s="54"/>
      <c r="L14" s="54"/>
      <c r="M14" s="63"/>
      <c r="N14" s="71">
        <f t="shared" si="0"/>
        <v>0</v>
      </c>
      <c r="V14" t="s">
        <v>16</v>
      </c>
    </row>
    <row r="15" spans="2:22" ht="14.5" x14ac:dyDescent="0.35">
      <c r="B15" s="75">
        <v>9</v>
      </c>
      <c r="E15" s="62"/>
      <c r="F15" s="63"/>
      <c r="G15" s="62"/>
      <c r="H15" s="54"/>
      <c r="I15" s="63"/>
      <c r="J15" s="62"/>
      <c r="K15" s="54"/>
      <c r="L15" s="54"/>
      <c r="M15" s="63"/>
      <c r="N15" s="71">
        <f t="shared" si="0"/>
        <v>0</v>
      </c>
      <c r="V15" t="s">
        <v>17</v>
      </c>
    </row>
    <row r="16" spans="2:22" ht="14.5" x14ac:dyDescent="0.35">
      <c r="B16" s="75">
        <v>10</v>
      </c>
      <c r="E16" s="62"/>
      <c r="F16" s="63"/>
      <c r="G16" s="62"/>
      <c r="H16" s="54"/>
      <c r="I16" s="63"/>
      <c r="J16" s="62"/>
      <c r="K16" s="54"/>
      <c r="L16" s="54"/>
      <c r="M16" s="63"/>
      <c r="N16" s="71">
        <f t="shared" si="0"/>
        <v>0</v>
      </c>
      <c r="V16" t="s">
        <v>18</v>
      </c>
    </row>
    <row r="17" spans="2:22" ht="14.5" x14ac:dyDescent="0.35">
      <c r="B17" s="75">
        <v>11</v>
      </c>
      <c r="E17" s="62"/>
      <c r="F17" s="63"/>
      <c r="G17" s="62"/>
      <c r="H17" s="54"/>
      <c r="I17" s="63"/>
      <c r="J17" s="62"/>
      <c r="K17" s="54"/>
      <c r="L17" s="54"/>
      <c r="M17" s="63"/>
      <c r="N17" s="71">
        <f t="shared" si="0"/>
        <v>0</v>
      </c>
      <c r="V17" t="s">
        <v>19</v>
      </c>
    </row>
    <row r="18" spans="2:22" ht="14.5" x14ac:dyDescent="0.35">
      <c r="B18" s="75">
        <v>12</v>
      </c>
      <c r="E18" s="62"/>
      <c r="F18" s="63"/>
      <c r="G18" s="62"/>
      <c r="H18" s="54"/>
      <c r="I18" s="63"/>
      <c r="J18" s="62"/>
      <c r="K18" s="54"/>
      <c r="L18" s="54"/>
      <c r="M18" s="63"/>
      <c r="N18" s="71">
        <f t="shared" si="0"/>
        <v>0</v>
      </c>
      <c r="V18" t="s">
        <v>20</v>
      </c>
    </row>
    <row r="19" spans="2:22" ht="14.5" x14ac:dyDescent="0.35">
      <c r="B19" s="75">
        <v>13</v>
      </c>
      <c r="E19" s="62"/>
      <c r="F19" s="63"/>
      <c r="G19" s="62"/>
      <c r="H19" s="54"/>
      <c r="I19" s="63"/>
      <c r="J19" s="62"/>
      <c r="K19" s="54"/>
      <c r="L19" s="54"/>
      <c r="M19" s="63"/>
      <c r="N19" s="71">
        <f t="shared" si="0"/>
        <v>0</v>
      </c>
    </row>
    <row r="20" spans="2:22" ht="14.5" x14ac:dyDescent="0.35">
      <c r="B20" s="76">
        <v>14</v>
      </c>
      <c r="E20" s="62"/>
      <c r="F20" s="63"/>
      <c r="G20" s="62"/>
      <c r="H20" s="54"/>
      <c r="I20" s="63"/>
      <c r="J20" s="62"/>
      <c r="K20" s="54"/>
      <c r="L20" s="54"/>
      <c r="M20" s="63"/>
      <c r="N20" s="71">
        <f t="shared" si="0"/>
        <v>0</v>
      </c>
    </row>
    <row r="21" spans="2:22" ht="14.5" x14ac:dyDescent="0.35">
      <c r="B21" s="75">
        <v>15</v>
      </c>
      <c r="E21" s="62"/>
      <c r="F21" s="63"/>
      <c r="G21" s="62"/>
      <c r="H21" s="54"/>
      <c r="I21" s="63"/>
      <c r="J21" s="62"/>
      <c r="K21" s="54"/>
      <c r="L21" s="54"/>
      <c r="M21" s="63"/>
      <c r="N21" s="71">
        <f t="shared" si="0"/>
        <v>0</v>
      </c>
    </row>
    <row r="22" spans="2:22" ht="14.5" x14ac:dyDescent="0.35">
      <c r="B22" s="75">
        <v>16</v>
      </c>
      <c r="E22" s="62"/>
      <c r="F22" s="63"/>
      <c r="G22" s="62"/>
      <c r="H22" s="54"/>
      <c r="I22" s="63"/>
      <c r="J22" s="62"/>
      <c r="K22" s="54"/>
      <c r="L22" s="54"/>
      <c r="M22" s="63"/>
      <c r="N22" s="71">
        <f t="shared" si="0"/>
        <v>0</v>
      </c>
    </row>
    <row r="23" spans="2:22" ht="14.5" x14ac:dyDescent="0.35">
      <c r="B23" s="75">
        <v>17</v>
      </c>
      <c r="E23" s="62"/>
      <c r="F23" s="63"/>
      <c r="G23" s="62"/>
      <c r="H23" s="54"/>
      <c r="I23" s="63"/>
      <c r="J23" s="62"/>
      <c r="K23" s="54"/>
      <c r="L23" s="54"/>
      <c r="M23" s="63"/>
      <c r="N23" s="71">
        <f t="shared" si="0"/>
        <v>0</v>
      </c>
    </row>
    <row r="24" spans="2:22" ht="14.5" x14ac:dyDescent="0.35">
      <c r="B24" s="75">
        <v>18</v>
      </c>
      <c r="E24" s="62"/>
      <c r="F24" s="63"/>
      <c r="G24" s="62"/>
      <c r="H24" s="54"/>
      <c r="I24" s="63"/>
      <c r="J24" s="62"/>
      <c r="K24" s="54"/>
      <c r="L24" s="54"/>
      <c r="M24" s="63"/>
      <c r="N24" s="71">
        <f t="shared" si="0"/>
        <v>0</v>
      </c>
    </row>
    <row r="25" spans="2:22" ht="14.5" x14ac:dyDescent="0.35">
      <c r="B25" s="75">
        <v>19</v>
      </c>
      <c r="E25" s="62"/>
      <c r="F25" s="63"/>
      <c r="G25" s="62"/>
      <c r="H25" s="54"/>
      <c r="I25" s="63"/>
      <c r="J25" s="62"/>
      <c r="K25" s="54"/>
      <c r="L25" s="54"/>
      <c r="M25" s="63"/>
      <c r="N25" s="71">
        <f t="shared" si="0"/>
        <v>0</v>
      </c>
    </row>
    <row r="26" spans="2:22" ht="14.5" x14ac:dyDescent="0.35">
      <c r="B26" s="75">
        <v>20</v>
      </c>
      <c r="E26" s="62"/>
      <c r="F26" s="63"/>
      <c r="G26" s="62"/>
      <c r="H26" s="54"/>
      <c r="I26" s="63"/>
      <c r="J26" s="62"/>
      <c r="K26" s="54"/>
      <c r="L26" s="54"/>
      <c r="M26" s="63"/>
      <c r="N26" s="71">
        <f t="shared" si="0"/>
        <v>0</v>
      </c>
    </row>
    <row r="27" spans="2:22" ht="14.5" x14ac:dyDescent="0.35">
      <c r="B27" s="75">
        <v>21</v>
      </c>
      <c r="E27" s="62"/>
      <c r="F27" s="63"/>
      <c r="G27" s="62"/>
      <c r="H27" s="54"/>
      <c r="I27" s="63"/>
      <c r="J27" s="62"/>
      <c r="K27" s="54"/>
      <c r="L27" s="54"/>
      <c r="M27" s="63"/>
      <c r="N27" s="71">
        <f t="shared" si="0"/>
        <v>0</v>
      </c>
    </row>
    <row r="28" spans="2:22" ht="14.5" x14ac:dyDescent="0.35">
      <c r="B28" s="76">
        <v>22</v>
      </c>
      <c r="E28" s="62"/>
      <c r="F28" s="63"/>
      <c r="G28" s="62"/>
      <c r="H28" s="54"/>
      <c r="I28" s="63"/>
      <c r="J28" s="62"/>
      <c r="K28" s="54"/>
      <c r="L28" s="54"/>
      <c r="M28" s="63"/>
      <c r="N28" s="71">
        <f t="shared" si="0"/>
        <v>0</v>
      </c>
    </row>
    <row r="29" spans="2:22" ht="14.5" x14ac:dyDescent="0.35">
      <c r="B29" s="75">
        <v>23</v>
      </c>
      <c r="E29" s="62"/>
      <c r="F29" s="63"/>
      <c r="G29" s="62"/>
      <c r="H29" s="54"/>
      <c r="I29" s="63"/>
      <c r="J29" s="62"/>
      <c r="K29" s="54"/>
      <c r="L29" s="54"/>
      <c r="M29" s="63"/>
      <c r="N29" s="71">
        <f t="shared" si="0"/>
        <v>0</v>
      </c>
    </row>
    <row r="30" spans="2:22" ht="14.5" x14ac:dyDescent="0.35">
      <c r="B30" s="75">
        <v>24</v>
      </c>
      <c r="E30" s="62"/>
      <c r="F30" s="63"/>
      <c r="G30" s="62"/>
      <c r="H30" s="54"/>
      <c r="I30" s="63"/>
      <c r="J30" s="62"/>
      <c r="K30" s="54"/>
      <c r="L30" s="54"/>
      <c r="M30" s="63"/>
      <c r="N30" s="71">
        <f t="shared" si="0"/>
        <v>0</v>
      </c>
    </row>
    <row r="31" spans="2:22" ht="14.5" x14ac:dyDescent="0.35">
      <c r="B31" s="75">
        <v>25</v>
      </c>
      <c r="E31" s="62"/>
      <c r="F31" s="63"/>
      <c r="G31" s="62"/>
      <c r="H31" s="54"/>
      <c r="I31" s="63"/>
      <c r="J31" s="62"/>
      <c r="K31" s="54"/>
      <c r="L31" s="54"/>
      <c r="M31" s="63"/>
      <c r="N31" s="71">
        <f t="shared" si="0"/>
        <v>0</v>
      </c>
    </row>
    <row r="32" spans="2:22" ht="14.5" x14ac:dyDescent="0.35">
      <c r="B32" s="75">
        <v>26</v>
      </c>
      <c r="E32" s="62"/>
      <c r="F32" s="63"/>
      <c r="G32" s="62"/>
      <c r="H32" s="54"/>
      <c r="I32" s="63"/>
      <c r="J32" s="62"/>
      <c r="K32" s="54"/>
      <c r="L32" s="54"/>
      <c r="M32" s="63"/>
      <c r="N32" s="71">
        <f t="shared" si="0"/>
        <v>0</v>
      </c>
    </row>
    <row r="33" spans="2:14" ht="14.5" x14ac:dyDescent="0.35">
      <c r="B33" s="75">
        <v>27</v>
      </c>
      <c r="E33" s="62"/>
      <c r="F33" s="63"/>
      <c r="G33" s="62"/>
      <c r="H33" s="54"/>
      <c r="I33" s="63"/>
      <c r="J33" s="62"/>
      <c r="K33" s="54"/>
      <c r="L33" s="54"/>
      <c r="M33" s="63"/>
      <c r="N33" s="71">
        <f t="shared" si="0"/>
        <v>0</v>
      </c>
    </row>
    <row r="34" spans="2:14" ht="14.5" x14ac:dyDescent="0.35">
      <c r="B34" s="75">
        <v>28</v>
      </c>
      <c r="E34" s="62"/>
      <c r="F34" s="63"/>
      <c r="G34" s="62"/>
      <c r="H34" s="54"/>
      <c r="I34" s="63"/>
      <c r="J34" s="62"/>
      <c r="K34" s="54"/>
      <c r="L34" s="54"/>
      <c r="M34" s="63"/>
      <c r="N34" s="71">
        <f t="shared" si="0"/>
        <v>0</v>
      </c>
    </row>
    <row r="35" spans="2:14" ht="14.5" x14ac:dyDescent="0.35">
      <c r="B35" s="75">
        <v>29</v>
      </c>
      <c r="E35" s="62"/>
      <c r="F35" s="63"/>
      <c r="G35" s="62"/>
      <c r="H35" s="54"/>
      <c r="I35" s="63"/>
      <c r="J35" s="62"/>
      <c r="K35" s="54"/>
      <c r="L35" s="54"/>
      <c r="M35" s="63"/>
      <c r="N35" s="71">
        <f t="shared" si="0"/>
        <v>0</v>
      </c>
    </row>
    <row r="36" spans="2:14" ht="14.5" x14ac:dyDescent="0.35">
      <c r="B36" s="76">
        <v>30</v>
      </c>
      <c r="E36" s="62"/>
      <c r="F36" s="63"/>
      <c r="G36" s="62"/>
      <c r="H36" s="54"/>
      <c r="I36" s="63"/>
      <c r="J36" s="62"/>
      <c r="K36" s="54"/>
      <c r="L36" s="54"/>
      <c r="M36" s="63"/>
      <c r="N36" s="71">
        <f t="shared" si="0"/>
        <v>0</v>
      </c>
    </row>
    <row r="37" spans="2:14" ht="15" thickBot="1" x14ac:dyDescent="0.4">
      <c r="B37" s="77">
        <v>31</v>
      </c>
      <c r="E37" s="64"/>
      <c r="F37" s="66"/>
      <c r="G37" s="64"/>
      <c r="H37" s="84"/>
      <c r="I37" s="66"/>
      <c r="J37" s="64"/>
      <c r="K37" s="65"/>
      <c r="L37" s="65"/>
      <c r="M37" s="66"/>
      <c r="N37" s="72">
        <f t="shared" si="0"/>
        <v>0</v>
      </c>
    </row>
    <row r="38" spans="2:14" ht="14.5" customHeight="1" thickBot="1" x14ac:dyDescent="0.4"/>
    <row r="39" spans="2:14" ht="19" customHeight="1" thickBot="1" x14ac:dyDescent="0.4">
      <c r="B39" s="73" t="s">
        <v>44</v>
      </c>
      <c r="E39" s="67">
        <f>SUM(E7:E16)</f>
        <v>0</v>
      </c>
      <c r="F39" s="69">
        <f t="shared" ref="F39:N39" si="1">SUM(F7:F16)</f>
        <v>0</v>
      </c>
      <c r="G39" s="67">
        <f t="shared" si="1"/>
        <v>0</v>
      </c>
      <c r="H39" s="68">
        <f t="shared" si="1"/>
        <v>0</v>
      </c>
      <c r="I39" s="69">
        <f t="shared" si="1"/>
        <v>0</v>
      </c>
      <c r="J39" s="67">
        <f t="shared" si="1"/>
        <v>0</v>
      </c>
      <c r="K39" s="68">
        <f t="shared" si="1"/>
        <v>0</v>
      </c>
      <c r="L39" s="68">
        <f t="shared" si="1"/>
        <v>0</v>
      </c>
      <c r="M39" s="69">
        <f t="shared" si="1"/>
        <v>0</v>
      </c>
      <c r="N39" s="70">
        <f t="shared" si="1"/>
        <v>0</v>
      </c>
    </row>
    <row r="40" spans="2:14" ht="7" customHeight="1" thickBot="1" x14ac:dyDescent="0.4">
      <c r="E40" s="17"/>
      <c r="G40" s="17"/>
      <c r="J40" s="17"/>
      <c r="N40" s="17"/>
    </row>
    <row r="41" spans="2:14" ht="19" customHeight="1" thickBot="1" x14ac:dyDescent="0.4">
      <c r="B41" s="73" t="s">
        <v>45</v>
      </c>
      <c r="E41" s="67">
        <f>SUM(E17:E26)</f>
        <v>0</v>
      </c>
      <c r="F41" s="69">
        <f t="shared" ref="F41:N41" si="2">SUM(F17:F26)</f>
        <v>0</v>
      </c>
      <c r="G41" s="67">
        <f t="shared" si="2"/>
        <v>0</v>
      </c>
      <c r="H41" s="68">
        <f t="shared" si="2"/>
        <v>0</v>
      </c>
      <c r="I41" s="69">
        <f t="shared" si="2"/>
        <v>0</v>
      </c>
      <c r="J41" s="67">
        <f t="shared" si="2"/>
        <v>0</v>
      </c>
      <c r="K41" s="68">
        <f t="shared" si="2"/>
        <v>0</v>
      </c>
      <c r="L41" s="68">
        <f t="shared" si="2"/>
        <v>0</v>
      </c>
      <c r="M41" s="69">
        <f t="shared" si="2"/>
        <v>0</v>
      </c>
      <c r="N41" s="70">
        <f t="shared" si="2"/>
        <v>0</v>
      </c>
    </row>
    <row r="42" spans="2:14" ht="7" customHeight="1" thickBot="1" x14ac:dyDescent="0.4">
      <c r="E42" s="17"/>
      <c r="G42" s="17"/>
      <c r="J42" s="17"/>
      <c r="N42" s="17"/>
    </row>
    <row r="43" spans="2:14" ht="19" customHeight="1" thickBot="1" x14ac:dyDescent="0.4">
      <c r="B43" s="73" t="s">
        <v>46</v>
      </c>
      <c r="E43" s="67">
        <f>SUM(E27:E37)</f>
        <v>0</v>
      </c>
      <c r="F43" s="69">
        <f t="shared" ref="F43:N43" si="3">SUM(F27:F37)</f>
        <v>0</v>
      </c>
      <c r="G43" s="67">
        <f t="shared" si="3"/>
        <v>0</v>
      </c>
      <c r="H43" s="68">
        <f t="shared" si="3"/>
        <v>0</v>
      </c>
      <c r="I43" s="69">
        <f t="shared" si="3"/>
        <v>0</v>
      </c>
      <c r="J43" s="67">
        <f t="shared" si="3"/>
        <v>0</v>
      </c>
      <c r="K43" s="68">
        <f t="shared" si="3"/>
        <v>0</v>
      </c>
      <c r="L43" s="68">
        <f t="shared" si="3"/>
        <v>0</v>
      </c>
      <c r="M43" s="69">
        <f t="shared" si="3"/>
        <v>0</v>
      </c>
      <c r="N43" s="70">
        <f t="shared" si="3"/>
        <v>0</v>
      </c>
    </row>
    <row r="44" spans="2:14" ht="7" customHeight="1" thickBot="1" x14ac:dyDescent="0.4">
      <c r="E44" s="17"/>
      <c r="G44" s="17"/>
      <c r="J44" s="17"/>
      <c r="N44" s="17"/>
    </row>
    <row r="45" spans="2:14" ht="26.5" customHeight="1" thickBot="1" x14ac:dyDescent="0.4">
      <c r="B45" s="78" t="s">
        <v>24</v>
      </c>
      <c r="E45" s="15">
        <f>E39+E41+E43</f>
        <v>0</v>
      </c>
      <c r="F45" s="15">
        <f t="shared" ref="F45:M45" si="4">F39+F41+F43</f>
        <v>0</v>
      </c>
      <c r="G45" s="15">
        <f t="shared" si="4"/>
        <v>0</v>
      </c>
      <c r="H45" s="15">
        <f t="shared" si="4"/>
        <v>0</v>
      </c>
      <c r="I45" s="15">
        <f t="shared" si="4"/>
        <v>0</v>
      </c>
      <c r="J45" s="15">
        <f t="shared" si="4"/>
        <v>0</v>
      </c>
      <c r="K45" s="15">
        <f t="shared" si="4"/>
        <v>0</v>
      </c>
      <c r="L45" s="15">
        <f t="shared" si="4"/>
        <v>0</v>
      </c>
      <c r="M45" s="26">
        <f t="shared" si="4"/>
        <v>0</v>
      </c>
      <c r="N45" s="30">
        <f>N39+N41+N43</f>
        <v>0</v>
      </c>
    </row>
    <row r="46" spans="2:14" ht="14.5" customHeight="1" x14ac:dyDescent="0.35"/>
    <row r="47" spans="2:14" ht="14.5" customHeight="1" x14ac:dyDescent="0.35">
      <c r="B47" t="s">
        <v>54</v>
      </c>
    </row>
  </sheetData>
  <sheetProtection sheet="1" objects="1" scenarios="1"/>
  <mergeCells count="9">
    <mergeCell ref="B1:H1"/>
    <mergeCell ref="I1:N1"/>
    <mergeCell ref="B3:H3"/>
    <mergeCell ref="I3:N3"/>
    <mergeCell ref="B5:B6"/>
    <mergeCell ref="E5:F5"/>
    <mergeCell ref="G5:I5"/>
    <mergeCell ref="J5:M5"/>
    <mergeCell ref="N5:N6"/>
  </mergeCells>
  <dataValidations count="2">
    <dataValidation type="list" allowBlank="1" showInputMessage="1" showErrorMessage="1" sqref="I3" xr:uid="{331C28FA-C0B6-4CF6-B04F-5EC55AA1EDB6}">
      <formula1>$V$7:$V$18</formula1>
    </dataValidation>
    <dataValidation type="list" allowBlank="1" showInputMessage="1" showErrorMessage="1" sqref="E7:M37" xr:uid="{3107E8FA-9D94-46E5-8964-A2F555A3D862}">
      <formula1>"0,1,2,3,4,5,6,7,8,9,10,11,12,13,14,15,16,17,18,19,20"</formula1>
    </dataValidation>
  </dataValidations>
  <pageMargins left="0.51181102362204722" right="0.51181102362204722" top="0.39370078740157483" bottom="0.39370078740157483" header="0.31496062992125984" footer="0.31496062992125984"/>
  <pageSetup paperSize="9" scale="61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5A295-4A94-46C7-8956-09AA5DA1103B}">
  <sheetPr>
    <pageSetUpPr fitToPage="1"/>
  </sheetPr>
  <dimension ref="A1:Z47"/>
  <sheetViews>
    <sheetView showGridLines="0" zoomScaleNormal="100" workbookViewId="0">
      <pane xSplit="2" ySplit="6" topLeftCell="C7" activePane="bottomRight" state="frozen"/>
      <selection activeCell="I3" sqref="I3:N3"/>
      <selection pane="topRight" activeCell="I3" sqref="I3:N3"/>
      <selection pane="bottomLeft" activeCell="I3" sqref="I3:N3"/>
      <selection pane="bottomRight" activeCell="I3" sqref="I3:N3"/>
    </sheetView>
  </sheetViews>
  <sheetFormatPr defaultColWidth="0" defaultRowHeight="0" customHeight="1" zeroHeight="1" x14ac:dyDescent="0.35"/>
  <cols>
    <col min="1" max="1" width="1.81640625" customWidth="1"/>
    <col min="2" max="2" width="11.54296875" customWidth="1"/>
    <col min="3" max="4" width="1.453125" customWidth="1"/>
    <col min="5" max="8" width="11.90625" customWidth="1"/>
    <col min="9" max="9" width="15" customWidth="1"/>
    <col min="10" max="11" width="11.90625" customWidth="1"/>
    <col min="12" max="12" width="13" customWidth="1"/>
    <col min="13" max="13" width="11.90625" customWidth="1"/>
    <col min="14" max="14" width="13.54296875" customWidth="1"/>
    <col min="15" max="15" width="2.26953125" customWidth="1"/>
    <col min="16" max="26" width="0" hidden="1" customWidth="1"/>
    <col min="27" max="16384" width="8.7265625" hidden="1"/>
  </cols>
  <sheetData>
    <row r="1" spans="2:22" ht="32.15" customHeight="1" x14ac:dyDescent="0.35">
      <c r="B1" s="87" t="s">
        <v>0</v>
      </c>
      <c r="C1" s="87"/>
      <c r="D1" s="87"/>
      <c r="E1" s="87"/>
      <c r="F1" s="87"/>
      <c r="G1" s="87"/>
      <c r="H1" s="87"/>
      <c r="I1" s="110"/>
      <c r="J1" s="110"/>
      <c r="K1" s="110"/>
      <c r="L1" s="110"/>
      <c r="M1" s="110"/>
      <c r="N1" s="110"/>
    </row>
    <row r="2" spans="2:22" ht="10.5" customHeight="1" x14ac:dyDescent="0.35">
      <c r="B2" s="1"/>
      <c r="E2" s="2"/>
      <c r="F2" s="2"/>
      <c r="G2" s="2"/>
      <c r="H2" s="2"/>
      <c r="I2" s="2"/>
    </row>
    <row r="3" spans="2:22" ht="32.15" customHeight="1" x14ac:dyDescent="0.35">
      <c r="B3" s="87" t="s">
        <v>1</v>
      </c>
      <c r="C3" s="87"/>
      <c r="D3" s="87"/>
      <c r="E3" s="87"/>
      <c r="F3" s="87"/>
      <c r="G3" s="87"/>
      <c r="H3" s="87"/>
      <c r="I3" s="110"/>
      <c r="J3" s="110"/>
      <c r="K3" s="110"/>
      <c r="L3" s="110"/>
      <c r="M3" s="110"/>
      <c r="N3" s="110"/>
    </row>
    <row r="4" spans="2:22" ht="10.5" customHeight="1" thickBot="1" x14ac:dyDescent="0.4">
      <c r="B4" s="3"/>
    </row>
    <row r="5" spans="2:22" ht="13.5" customHeight="1" x14ac:dyDescent="0.35">
      <c r="B5" s="111" t="s">
        <v>4</v>
      </c>
      <c r="E5" s="107" t="s">
        <v>28</v>
      </c>
      <c r="F5" s="108"/>
      <c r="G5" s="107" t="s">
        <v>27</v>
      </c>
      <c r="H5" s="109"/>
      <c r="I5" s="108"/>
      <c r="J5" s="107" t="s">
        <v>3</v>
      </c>
      <c r="K5" s="109"/>
      <c r="L5" s="109"/>
      <c r="M5" s="108"/>
      <c r="N5" s="105" t="s">
        <v>26</v>
      </c>
    </row>
    <row r="6" spans="2:22" ht="27" customHeight="1" thickBot="1" x14ac:dyDescent="0.4">
      <c r="B6" s="112"/>
      <c r="C6" s="5"/>
      <c r="D6" s="5"/>
      <c r="E6" s="60" t="s">
        <v>5</v>
      </c>
      <c r="F6" s="61" t="s">
        <v>6</v>
      </c>
      <c r="G6" s="60" t="s">
        <v>5</v>
      </c>
      <c r="H6" s="59" t="s">
        <v>51</v>
      </c>
      <c r="I6" s="61" t="s">
        <v>8</v>
      </c>
      <c r="J6" s="60" t="s">
        <v>7</v>
      </c>
      <c r="K6" s="59" t="s">
        <v>6</v>
      </c>
      <c r="L6" s="59" t="s">
        <v>50</v>
      </c>
      <c r="M6" s="61" t="s">
        <v>9</v>
      </c>
      <c r="N6" s="106"/>
    </row>
    <row r="7" spans="2:22" ht="14.5" x14ac:dyDescent="0.35">
      <c r="B7" s="74">
        <v>1</v>
      </c>
      <c r="C7" s="9"/>
      <c r="D7" s="9"/>
      <c r="E7" s="62"/>
      <c r="F7" s="63"/>
      <c r="G7" s="62"/>
      <c r="H7" s="54"/>
      <c r="I7" s="63"/>
      <c r="J7" s="62"/>
      <c r="K7" s="54"/>
      <c r="L7" s="54"/>
      <c r="M7" s="63"/>
      <c r="N7" s="71">
        <f>G7+E7+J7</f>
        <v>0</v>
      </c>
      <c r="V7" t="s">
        <v>10</v>
      </c>
    </row>
    <row r="8" spans="2:22" ht="14.5" x14ac:dyDescent="0.35">
      <c r="B8" s="75">
        <v>2</v>
      </c>
      <c r="C8" s="9"/>
      <c r="D8" s="9"/>
      <c r="E8" s="62"/>
      <c r="F8" s="63"/>
      <c r="G8" s="62"/>
      <c r="H8" s="54"/>
      <c r="I8" s="63"/>
      <c r="J8" s="62"/>
      <c r="K8" s="54"/>
      <c r="L8" s="54"/>
      <c r="M8" s="63"/>
      <c r="N8" s="71">
        <f>G8+E8+J8</f>
        <v>0</v>
      </c>
      <c r="V8" t="s">
        <v>11</v>
      </c>
    </row>
    <row r="9" spans="2:22" ht="14.5" x14ac:dyDescent="0.35">
      <c r="B9" s="75">
        <v>3</v>
      </c>
      <c r="C9" s="9"/>
      <c r="D9" s="9"/>
      <c r="E9" s="62"/>
      <c r="F9" s="63"/>
      <c r="G9" s="62"/>
      <c r="H9" s="54"/>
      <c r="I9" s="63"/>
      <c r="J9" s="62"/>
      <c r="K9" s="54"/>
      <c r="L9" s="54"/>
      <c r="M9" s="63"/>
      <c r="N9" s="71">
        <f>G9+E9+J9</f>
        <v>0</v>
      </c>
      <c r="V9" t="s">
        <v>2</v>
      </c>
    </row>
    <row r="10" spans="2:22" ht="14.5" x14ac:dyDescent="0.35">
      <c r="B10" s="75">
        <v>4</v>
      </c>
      <c r="C10" s="9"/>
      <c r="D10" s="9"/>
      <c r="E10" s="62"/>
      <c r="F10" s="63"/>
      <c r="G10" s="62"/>
      <c r="H10" s="54"/>
      <c r="I10" s="63"/>
      <c r="J10" s="62"/>
      <c r="K10" s="54"/>
      <c r="L10" s="54"/>
      <c r="M10" s="63"/>
      <c r="N10" s="71">
        <f t="shared" ref="N10:N37" si="0">G10+E10+J10</f>
        <v>0</v>
      </c>
      <c r="V10" t="s">
        <v>12</v>
      </c>
    </row>
    <row r="11" spans="2:22" ht="14.5" x14ac:dyDescent="0.35">
      <c r="B11" s="75">
        <v>5</v>
      </c>
      <c r="C11" s="9"/>
      <c r="D11" s="9"/>
      <c r="E11" s="62"/>
      <c r="F11" s="63"/>
      <c r="G11" s="62"/>
      <c r="H11" s="54"/>
      <c r="I11" s="63"/>
      <c r="J11" s="62"/>
      <c r="K11" s="54"/>
      <c r="L11" s="54"/>
      <c r="M11" s="63"/>
      <c r="N11" s="71">
        <f t="shared" si="0"/>
        <v>0</v>
      </c>
      <c r="V11" t="s">
        <v>13</v>
      </c>
    </row>
    <row r="12" spans="2:22" ht="14.5" x14ac:dyDescent="0.35">
      <c r="B12" s="76">
        <v>6</v>
      </c>
      <c r="C12" s="9"/>
      <c r="D12" s="9"/>
      <c r="E12" s="62"/>
      <c r="F12" s="63"/>
      <c r="G12" s="62"/>
      <c r="H12" s="54"/>
      <c r="I12" s="63"/>
      <c r="J12" s="62"/>
      <c r="K12" s="54"/>
      <c r="L12" s="54"/>
      <c r="M12" s="63"/>
      <c r="N12" s="71">
        <f t="shared" si="0"/>
        <v>0</v>
      </c>
      <c r="V12" t="s">
        <v>14</v>
      </c>
    </row>
    <row r="13" spans="2:22" ht="14.5" x14ac:dyDescent="0.35">
      <c r="B13" s="75">
        <v>7</v>
      </c>
      <c r="C13" s="9"/>
      <c r="D13" s="9"/>
      <c r="E13" s="62"/>
      <c r="F13" s="63"/>
      <c r="G13" s="62"/>
      <c r="H13" s="54"/>
      <c r="I13" s="63"/>
      <c r="J13" s="62"/>
      <c r="K13" s="54"/>
      <c r="L13" s="54"/>
      <c r="M13" s="63"/>
      <c r="N13" s="71">
        <f t="shared" si="0"/>
        <v>0</v>
      </c>
      <c r="V13" t="s">
        <v>15</v>
      </c>
    </row>
    <row r="14" spans="2:22" ht="14.5" x14ac:dyDescent="0.35">
      <c r="B14" s="75">
        <v>8</v>
      </c>
      <c r="E14" s="62"/>
      <c r="F14" s="63"/>
      <c r="G14" s="62"/>
      <c r="H14" s="54"/>
      <c r="I14" s="63"/>
      <c r="J14" s="62"/>
      <c r="K14" s="54"/>
      <c r="L14" s="54"/>
      <c r="M14" s="63"/>
      <c r="N14" s="71">
        <f t="shared" si="0"/>
        <v>0</v>
      </c>
      <c r="V14" t="s">
        <v>16</v>
      </c>
    </row>
    <row r="15" spans="2:22" ht="14.5" x14ac:dyDescent="0.35">
      <c r="B15" s="75">
        <v>9</v>
      </c>
      <c r="E15" s="62"/>
      <c r="F15" s="63"/>
      <c r="G15" s="62"/>
      <c r="H15" s="54"/>
      <c r="I15" s="63"/>
      <c r="J15" s="62"/>
      <c r="K15" s="54"/>
      <c r="L15" s="54"/>
      <c r="M15" s="63"/>
      <c r="N15" s="71">
        <f t="shared" si="0"/>
        <v>0</v>
      </c>
      <c r="V15" t="s">
        <v>17</v>
      </c>
    </row>
    <row r="16" spans="2:22" ht="14.5" x14ac:dyDescent="0.35">
      <c r="B16" s="75">
        <v>10</v>
      </c>
      <c r="E16" s="62"/>
      <c r="F16" s="63"/>
      <c r="G16" s="62"/>
      <c r="H16" s="54"/>
      <c r="I16" s="63"/>
      <c r="J16" s="62"/>
      <c r="K16" s="54"/>
      <c r="L16" s="54"/>
      <c r="M16" s="63"/>
      <c r="N16" s="71">
        <f t="shared" si="0"/>
        <v>0</v>
      </c>
      <c r="V16" t="s">
        <v>18</v>
      </c>
    </row>
    <row r="17" spans="2:22" ht="14.5" x14ac:dyDescent="0.35">
      <c r="B17" s="75">
        <v>11</v>
      </c>
      <c r="E17" s="62"/>
      <c r="F17" s="63"/>
      <c r="G17" s="62"/>
      <c r="H17" s="54"/>
      <c r="I17" s="63"/>
      <c r="J17" s="62"/>
      <c r="K17" s="54"/>
      <c r="L17" s="54"/>
      <c r="M17" s="63"/>
      <c r="N17" s="71">
        <f t="shared" si="0"/>
        <v>0</v>
      </c>
      <c r="V17" t="s">
        <v>19</v>
      </c>
    </row>
    <row r="18" spans="2:22" ht="14.5" x14ac:dyDescent="0.35">
      <c r="B18" s="75">
        <v>12</v>
      </c>
      <c r="E18" s="62"/>
      <c r="F18" s="63"/>
      <c r="G18" s="62"/>
      <c r="H18" s="54"/>
      <c r="I18" s="63"/>
      <c r="J18" s="62"/>
      <c r="K18" s="54"/>
      <c r="L18" s="54"/>
      <c r="M18" s="63"/>
      <c r="N18" s="71">
        <f t="shared" si="0"/>
        <v>0</v>
      </c>
      <c r="V18" t="s">
        <v>20</v>
      </c>
    </row>
    <row r="19" spans="2:22" ht="14.5" x14ac:dyDescent="0.35">
      <c r="B19" s="75">
        <v>13</v>
      </c>
      <c r="E19" s="62"/>
      <c r="F19" s="63"/>
      <c r="G19" s="62"/>
      <c r="H19" s="54"/>
      <c r="I19" s="63"/>
      <c r="J19" s="62"/>
      <c r="K19" s="54"/>
      <c r="L19" s="54"/>
      <c r="M19" s="63"/>
      <c r="N19" s="71">
        <f t="shared" si="0"/>
        <v>0</v>
      </c>
    </row>
    <row r="20" spans="2:22" ht="14.5" x14ac:dyDescent="0.35">
      <c r="B20" s="76">
        <v>14</v>
      </c>
      <c r="E20" s="62"/>
      <c r="F20" s="63"/>
      <c r="G20" s="62"/>
      <c r="H20" s="54"/>
      <c r="I20" s="63"/>
      <c r="J20" s="62"/>
      <c r="K20" s="54"/>
      <c r="L20" s="54"/>
      <c r="M20" s="63"/>
      <c r="N20" s="71">
        <f t="shared" si="0"/>
        <v>0</v>
      </c>
    </row>
    <row r="21" spans="2:22" ht="14.5" x14ac:dyDescent="0.35">
      <c r="B21" s="75">
        <v>15</v>
      </c>
      <c r="E21" s="62"/>
      <c r="F21" s="63"/>
      <c r="G21" s="62"/>
      <c r="H21" s="54"/>
      <c r="I21" s="63"/>
      <c r="J21" s="62"/>
      <c r="K21" s="54"/>
      <c r="L21" s="54"/>
      <c r="M21" s="63"/>
      <c r="N21" s="71">
        <f t="shared" si="0"/>
        <v>0</v>
      </c>
    </row>
    <row r="22" spans="2:22" ht="14.5" x14ac:dyDescent="0.35">
      <c r="B22" s="75">
        <v>16</v>
      </c>
      <c r="E22" s="62"/>
      <c r="F22" s="63"/>
      <c r="G22" s="62"/>
      <c r="H22" s="54"/>
      <c r="I22" s="63"/>
      <c r="J22" s="62"/>
      <c r="K22" s="54"/>
      <c r="L22" s="54"/>
      <c r="M22" s="63"/>
      <c r="N22" s="71">
        <f t="shared" si="0"/>
        <v>0</v>
      </c>
    </row>
    <row r="23" spans="2:22" ht="14.5" x14ac:dyDescent="0.35">
      <c r="B23" s="75">
        <v>17</v>
      </c>
      <c r="E23" s="62"/>
      <c r="F23" s="63"/>
      <c r="G23" s="62"/>
      <c r="H23" s="54"/>
      <c r="I23" s="63"/>
      <c r="J23" s="62"/>
      <c r="K23" s="54"/>
      <c r="L23" s="54"/>
      <c r="M23" s="63"/>
      <c r="N23" s="71">
        <f t="shared" si="0"/>
        <v>0</v>
      </c>
    </row>
    <row r="24" spans="2:22" ht="14.5" x14ac:dyDescent="0.35">
      <c r="B24" s="75">
        <v>18</v>
      </c>
      <c r="E24" s="62"/>
      <c r="F24" s="63"/>
      <c r="G24" s="62"/>
      <c r="H24" s="54"/>
      <c r="I24" s="63"/>
      <c r="J24" s="62"/>
      <c r="K24" s="54"/>
      <c r="L24" s="54"/>
      <c r="M24" s="63"/>
      <c r="N24" s="71">
        <f t="shared" si="0"/>
        <v>0</v>
      </c>
    </row>
    <row r="25" spans="2:22" ht="14.5" x14ac:dyDescent="0.35">
      <c r="B25" s="75">
        <v>19</v>
      </c>
      <c r="E25" s="62"/>
      <c r="F25" s="63"/>
      <c r="G25" s="62"/>
      <c r="H25" s="54"/>
      <c r="I25" s="63"/>
      <c r="J25" s="62"/>
      <c r="K25" s="54"/>
      <c r="L25" s="54"/>
      <c r="M25" s="63"/>
      <c r="N25" s="71">
        <f t="shared" si="0"/>
        <v>0</v>
      </c>
    </row>
    <row r="26" spans="2:22" ht="14.5" x14ac:dyDescent="0.35">
      <c r="B26" s="75">
        <v>20</v>
      </c>
      <c r="E26" s="62"/>
      <c r="F26" s="63"/>
      <c r="G26" s="62"/>
      <c r="H26" s="54"/>
      <c r="I26" s="63"/>
      <c r="J26" s="62"/>
      <c r="K26" s="54"/>
      <c r="L26" s="54"/>
      <c r="M26" s="63"/>
      <c r="N26" s="71">
        <f t="shared" si="0"/>
        <v>0</v>
      </c>
    </row>
    <row r="27" spans="2:22" ht="14.5" x14ac:dyDescent="0.35">
      <c r="B27" s="75">
        <v>21</v>
      </c>
      <c r="E27" s="62"/>
      <c r="F27" s="63"/>
      <c r="G27" s="62"/>
      <c r="H27" s="54"/>
      <c r="I27" s="63"/>
      <c r="J27" s="62"/>
      <c r="K27" s="54"/>
      <c r="L27" s="54"/>
      <c r="M27" s="63"/>
      <c r="N27" s="71">
        <f t="shared" si="0"/>
        <v>0</v>
      </c>
    </row>
    <row r="28" spans="2:22" ht="14.5" x14ac:dyDescent="0.35">
      <c r="B28" s="76">
        <v>22</v>
      </c>
      <c r="E28" s="62"/>
      <c r="F28" s="63"/>
      <c r="G28" s="62"/>
      <c r="H28" s="54"/>
      <c r="I28" s="63"/>
      <c r="J28" s="62"/>
      <c r="K28" s="54"/>
      <c r="L28" s="54"/>
      <c r="M28" s="63"/>
      <c r="N28" s="71">
        <f t="shared" si="0"/>
        <v>0</v>
      </c>
    </row>
    <row r="29" spans="2:22" ht="14.5" x14ac:dyDescent="0.35">
      <c r="B29" s="75">
        <v>23</v>
      </c>
      <c r="E29" s="62"/>
      <c r="F29" s="63"/>
      <c r="G29" s="62"/>
      <c r="H29" s="54"/>
      <c r="I29" s="63"/>
      <c r="J29" s="62"/>
      <c r="K29" s="54"/>
      <c r="L29" s="54"/>
      <c r="M29" s="63"/>
      <c r="N29" s="71">
        <f t="shared" si="0"/>
        <v>0</v>
      </c>
    </row>
    <row r="30" spans="2:22" ht="14.5" x14ac:dyDescent="0.35">
      <c r="B30" s="75">
        <v>24</v>
      </c>
      <c r="E30" s="62"/>
      <c r="F30" s="63"/>
      <c r="G30" s="62"/>
      <c r="H30" s="54"/>
      <c r="I30" s="63"/>
      <c r="J30" s="62"/>
      <c r="K30" s="54"/>
      <c r="L30" s="54"/>
      <c r="M30" s="63"/>
      <c r="N30" s="71">
        <f t="shared" si="0"/>
        <v>0</v>
      </c>
    </row>
    <row r="31" spans="2:22" ht="14.5" x14ac:dyDescent="0.35">
      <c r="B31" s="75">
        <v>25</v>
      </c>
      <c r="E31" s="62"/>
      <c r="F31" s="63"/>
      <c r="G31" s="62"/>
      <c r="H31" s="54"/>
      <c r="I31" s="63"/>
      <c r="J31" s="62"/>
      <c r="K31" s="54"/>
      <c r="L31" s="54"/>
      <c r="M31" s="63"/>
      <c r="N31" s="71">
        <f t="shared" si="0"/>
        <v>0</v>
      </c>
    </row>
    <row r="32" spans="2:22" ht="14.5" x14ac:dyDescent="0.35">
      <c r="B32" s="75">
        <v>26</v>
      </c>
      <c r="E32" s="62"/>
      <c r="F32" s="63"/>
      <c r="G32" s="62"/>
      <c r="H32" s="54"/>
      <c r="I32" s="63"/>
      <c r="J32" s="62"/>
      <c r="K32" s="54"/>
      <c r="L32" s="54"/>
      <c r="M32" s="63"/>
      <c r="N32" s="71">
        <f t="shared" si="0"/>
        <v>0</v>
      </c>
    </row>
    <row r="33" spans="2:14" ht="14.5" x14ac:dyDescent="0.35">
      <c r="B33" s="75">
        <v>27</v>
      </c>
      <c r="E33" s="62"/>
      <c r="F33" s="63"/>
      <c r="G33" s="62"/>
      <c r="H33" s="54"/>
      <c r="I33" s="63"/>
      <c r="J33" s="62"/>
      <c r="K33" s="54"/>
      <c r="L33" s="54"/>
      <c r="M33" s="63"/>
      <c r="N33" s="71">
        <f t="shared" si="0"/>
        <v>0</v>
      </c>
    </row>
    <row r="34" spans="2:14" ht="14.5" x14ac:dyDescent="0.35">
      <c r="B34" s="75">
        <v>28</v>
      </c>
      <c r="E34" s="62"/>
      <c r="F34" s="63"/>
      <c r="G34" s="62"/>
      <c r="H34" s="54"/>
      <c r="I34" s="63"/>
      <c r="J34" s="62"/>
      <c r="K34" s="54"/>
      <c r="L34" s="54"/>
      <c r="M34" s="63"/>
      <c r="N34" s="71">
        <f t="shared" si="0"/>
        <v>0</v>
      </c>
    </row>
    <row r="35" spans="2:14" ht="14.5" x14ac:dyDescent="0.35">
      <c r="B35" s="75">
        <v>29</v>
      </c>
      <c r="E35" s="62"/>
      <c r="F35" s="63"/>
      <c r="G35" s="62"/>
      <c r="H35" s="54"/>
      <c r="I35" s="63"/>
      <c r="J35" s="62"/>
      <c r="K35" s="54"/>
      <c r="L35" s="54"/>
      <c r="M35" s="63"/>
      <c r="N35" s="71">
        <f t="shared" si="0"/>
        <v>0</v>
      </c>
    </row>
    <row r="36" spans="2:14" ht="14.5" x14ac:dyDescent="0.35">
      <c r="B36" s="76">
        <v>30</v>
      </c>
      <c r="E36" s="62"/>
      <c r="F36" s="63"/>
      <c r="G36" s="62"/>
      <c r="H36" s="54"/>
      <c r="I36" s="63"/>
      <c r="J36" s="62"/>
      <c r="K36" s="54"/>
      <c r="L36" s="54"/>
      <c r="M36" s="63"/>
      <c r="N36" s="71">
        <f t="shared" si="0"/>
        <v>0</v>
      </c>
    </row>
    <row r="37" spans="2:14" ht="15" thickBot="1" x14ac:dyDescent="0.4">
      <c r="B37" s="77">
        <v>31</v>
      </c>
      <c r="E37" s="64"/>
      <c r="F37" s="66"/>
      <c r="G37" s="64"/>
      <c r="H37" s="84"/>
      <c r="I37" s="66"/>
      <c r="J37" s="64"/>
      <c r="K37" s="65"/>
      <c r="L37" s="65"/>
      <c r="M37" s="66"/>
      <c r="N37" s="72">
        <f t="shared" si="0"/>
        <v>0</v>
      </c>
    </row>
    <row r="38" spans="2:14" ht="14.5" customHeight="1" thickBot="1" x14ac:dyDescent="0.4"/>
    <row r="39" spans="2:14" ht="19" customHeight="1" thickBot="1" x14ac:dyDescent="0.4">
      <c r="B39" s="73" t="s">
        <v>44</v>
      </c>
      <c r="E39" s="67">
        <f>SUM(E7:E16)</f>
        <v>0</v>
      </c>
      <c r="F39" s="69">
        <f t="shared" ref="F39:N39" si="1">SUM(F7:F16)</f>
        <v>0</v>
      </c>
      <c r="G39" s="67">
        <f t="shared" si="1"/>
        <v>0</v>
      </c>
      <c r="H39" s="68">
        <f t="shared" si="1"/>
        <v>0</v>
      </c>
      <c r="I39" s="69">
        <f t="shared" si="1"/>
        <v>0</v>
      </c>
      <c r="J39" s="67">
        <f t="shared" si="1"/>
        <v>0</v>
      </c>
      <c r="K39" s="68">
        <f t="shared" si="1"/>
        <v>0</v>
      </c>
      <c r="L39" s="68">
        <f t="shared" si="1"/>
        <v>0</v>
      </c>
      <c r="M39" s="69">
        <f t="shared" si="1"/>
        <v>0</v>
      </c>
      <c r="N39" s="70">
        <f t="shared" si="1"/>
        <v>0</v>
      </c>
    </row>
    <row r="40" spans="2:14" ht="7" customHeight="1" thickBot="1" x14ac:dyDescent="0.4">
      <c r="E40" s="17"/>
      <c r="G40" s="17"/>
      <c r="J40" s="17"/>
      <c r="N40" s="17"/>
    </row>
    <row r="41" spans="2:14" ht="19" customHeight="1" thickBot="1" x14ac:dyDescent="0.4">
      <c r="B41" s="73" t="s">
        <v>45</v>
      </c>
      <c r="E41" s="67">
        <f>SUM(E17:E26)</f>
        <v>0</v>
      </c>
      <c r="F41" s="69">
        <f t="shared" ref="F41:N41" si="2">SUM(F17:F26)</f>
        <v>0</v>
      </c>
      <c r="G41" s="67">
        <f t="shared" si="2"/>
        <v>0</v>
      </c>
      <c r="H41" s="68">
        <f t="shared" si="2"/>
        <v>0</v>
      </c>
      <c r="I41" s="69">
        <f t="shared" si="2"/>
        <v>0</v>
      </c>
      <c r="J41" s="67">
        <f t="shared" si="2"/>
        <v>0</v>
      </c>
      <c r="K41" s="68">
        <f t="shared" si="2"/>
        <v>0</v>
      </c>
      <c r="L41" s="68">
        <f t="shared" si="2"/>
        <v>0</v>
      </c>
      <c r="M41" s="69">
        <f t="shared" si="2"/>
        <v>0</v>
      </c>
      <c r="N41" s="70">
        <f t="shared" si="2"/>
        <v>0</v>
      </c>
    </row>
    <row r="42" spans="2:14" ht="7" customHeight="1" thickBot="1" x14ac:dyDescent="0.4">
      <c r="E42" s="17"/>
      <c r="G42" s="17"/>
      <c r="J42" s="17"/>
      <c r="N42" s="17"/>
    </row>
    <row r="43" spans="2:14" ht="19" customHeight="1" thickBot="1" x14ac:dyDescent="0.4">
      <c r="B43" s="73" t="s">
        <v>46</v>
      </c>
      <c r="E43" s="67">
        <f>SUM(E27:E37)</f>
        <v>0</v>
      </c>
      <c r="F43" s="69">
        <f t="shared" ref="F43:N43" si="3">SUM(F27:F37)</f>
        <v>0</v>
      </c>
      <c r="G43" s="67">
        <f t="shared" si="3"/>
        <v>0</v>
      </c>
      <c r="H43" s="68">
        <f t="shared" si="3"/>
        <v>0</v>
      </c>
      <c r="I43" s="69">
        <f t="shared" si="3"/>
        <v>0</v>
      </c>
      <c r="J43" s="67">
        <f t="shared" si="3"/>
        <v>0</v>
      </c>
      <c r="K43" s="68">
        <f t="shared" si="3"/>
        <v>0</v>
      </c>
      <c r="L43" s="68">
        <f t="shared" si="3"/>
        <v>0</v>
      </c>
      <c r="M43" s="69">
        <f t="shared" si="3"/>
        <v>0</v>
      </c>
      <c r="N43" s="70">
        <f t="shared" si="3"/>
        <v>0</v>
      </c>
    </row>
    <row r="44" spans="2:14" ht="7" customHeight="1" thickBot="1" x14ac:dyDescent="0.4">
      <c r="E44" s="17"/>
      <c r="G44" s="17"/>
      <c r="J44" s="17"/>
      <c r="N44" s="17"/>
    </row>
    <row r="45" spans="2:14" ht="26.5" customHeight="1" thickBot="1" x14ac:dyDescent="0.4">
      <c r="B45" s="78" t="s">
        <v>24</v>
      </c>
      <c r="E45" s="15">
        <f>E39+E41+E43</f>
        <v>0</v>
      </c>
      <c r="F45" s="15">
        <f t="shared" ref="F45:M45" si="4">F39+F41+F43</f>
        <v>0</v>
      </c>
      <c r="G45" s="15">
        <f t="shared" si="4"/>
        <v>0</v>
      </c>
      <c r="H45" s="15">
        <f t="shared" si="4"/>
        <v>0</v>
      </c>
      <c r="I45" s="15">
        <f t="shared" si="4"/>
        <v>0</v>
      </c>
      <c r="J45" s="15">
        <f t="shared" si="4"/>
        <v>0</v>
      </c>
      <c r="K45" s="15">
        <f t="shared" si="4"/>
        <v>0</v>
      </c>
      <c r="L45" s="15">
        <f t="shared" si="4"/>
        <v>0</v>
      </c>
      <c r="M45" s="26">
        <f t="shared" si="4"/>
        <v>0</v>
      </c>
      <c r="N45" s="30">
        <f>N39+N41+N43</f>
        <v>0</v>
      </c>
    </row>
    <row r="46" spans="2:14" ht="14.5" customHeight="1" x14ac:dyDescent="0.35"/>
    <row r="47" spans="2:14" ht="14.5" customHeight="1" x14ac:dyDescent="0.35">
      <c r="B47" t="s">
        <v>54</v>
      </c>
    </row>
  </sheetData>
  <sheetProtection sheet="1" objects="1" scenarios="1"/>
  <mergeCells count="9">
    <mergeCell ref="B1:H1"/>
    <mergeCell ref="I1:N1"/>
    <mergeCell ref="B3:H3"/>
    <mergeCell ref="I3:N3"/>
    <mergeCell ref="B5:B6"/>
    <mergeCell ref="E5:F5"/>
    <mergeCell ref="G5:I5"/>
    <mergeCell ref="J5:M5"/>
    <mergeCell ref="N5:N6"/>
  </mergeCells>
  <dataValidations count="2">
    <dataValidation type="list" allowBlank="1" showInputMessage="1" showErrorMessage="1" sqref="E7:M37" xr:uid="{E4CB66C0-207C-4540-9338-BEA6F5B29A66}">
      <formula1>"0,1,2,3,4,5,6,7,8,9,10,11,12,13,14,15,16,17,18,19,20"</formula1>
    </dataValidation>
    <dataValidation type="list" allowBlank="1" showInputMessage="1" showErrorMessage="1" sqref="I3" xr:uid="{2CD8EBAA-0074-4D3B-A2F8-588FBC671399}">
      <formula1>$V$7:$V$18</formula1>
    </dataValidation>
  </dataValidations>
  <pageMargins left="0.51181102362204722" right="0.51181102362204722" top="0.39370078740157483" bottom="0.39370078740157483" header="0.31496062992125984" footer="0.31496062992125984"/>
  <pageSetup paperSize="9" scale="61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31D73-F715-4E5B-B3E7-98F4567F146E}">
  <sheetPr>
    <pageSetUpPr fitToPage="1"/>
  </sheetPr>
  <dimension ref="A1:Z47"/>
  <sheetViews>
    <sheetView showGridLines="0" zoomScaleNormal="100" workbookViewId="0">
      <pane xSplit="2" ySplit="6" topLeftCell="C7" activePane="bottomRight" state="frozen"/>
      <selection activeCell="I3" sqref="I3:N3"/>
      <selection pane="topRight" activeCell="I3" sqref="I3:N3"/>
      <selection pane="bottomLeft" activeCell="I3" sqref="I3:N3"/>
      <selection pane="bottomRight" activeCell="I3" sqref="I3:N3"/>
    </sheetView>
  </sheetViews>
  <sheetFormatPr defaultColWidth="0" defaultRowHeight="0" customHeight="1" zeroHeight="1" x14ac:dyDescent="0.35"/>
  <cols>
    <col min="1" max="1" width="1.81640625" customWidth="1"/>
    <col min="2" max="2" width="11.54296875" customWidth="1"/>
    <col min="3" max="4" width="1.453125" customWidth="1"/>
    <col min="5" max="8" width="11.90625" customWidth="1"/>
    <col min="9" max="9" width="15" customWidth="1"/>
    <col min="10" max="11" width="11.90625" customWidth="1"/>
    <col min="12" max="12" width="13" customWidth="1"/>
    <col min="13" max="13" width="11.90625" customWidth="1"/>
    <col min="14" max="14" width="13.54296875" customWidth="1"/>
    <col min="15" max="15" width="2.26953125" customWidth="1"/>
    <col min="16" max="26" width="0" hidden="1" customWidth="1"/>
    <col min="27" max="16384" width="8.7265625" hidden="1"/>
  </cols>
  <sheetData>
    <row r="1" spans="2:22" ht="32.15" customHeight="1" x14ac:dyDescent="0.35">
      <c r="B1" s="87" t="s">
        <v>0</v>
      </c>
      <c r="C1" s="87"/>
      <c r="D1" s="87"/>
      <c r="E1" s="87"/>
      <c r="F1" s="87"/>
      <c r="G1" s="87"/>
      <c r="H1" s="87"/>
      <c r="I1" s="110"/>
      <c r="J1" s="110"/>
      <c r="K1" s="110"/>
      <c r="L1" s="110"/>
      <c r="M1" s="110"/>
      <c r="N1" s="110"/>
    </row>
    <row r="2" spans="2:22" ht="10.5" customHeight="1" x14ac:dyDescent="0.35">
      <c r="B2" s="1"/>
      <c r="E2" s="2"/>
      <c r="F2" s="2"/>
      <c r="G2" s="2"/>
      <c r="H2" s="2"/>
      <c r="I2" s="2"/>
    </row>
    <row r="3" spans="2:22" ht="32.15" customHeight="1" x14ac:dyDescent="0.35">
      <c r="B3" s="87" t="s">
        <v>1</v>
      </c>
      <c r="C3" s="87"/>
      <c r="D3" s="87"/>
      <c r="E3" s="87"/>
      <c r="F3" s="87"/>
      <c r="G3" s="87"/>
      <c r="H3" s="87"/>
      <c r="I3" s="110"/>
      <c r="J3" s="110"/>
      <c r="K3" s="110"/>
      <c r="L3" s="110"/>
      <c r="M3" s="110"/>
      <c r="N3" s="110"/>
    </row>
    <row r="4" spans="2:22" ht="10.5" customHeight="1" thickBot="1" x14ac:dyDescent="0.4">
      <c r="B4" s="3"/>
    </row>
    <row r="5" spans="2:22" ht="13.5" customHeight="1" x14ac:dyDescent="0.35">
      <c r="B5" s="111" t="s">
        <v>4</v>
      </c>
      <c r="E5" s="107" t="s">
        <v>28</v>
      </c>
      <c r="F5" s="108"/>
      <c r="G5" s="107" t="s">
        <v>27</v>
      </c>
      <c r="H5" s="109"/>
      <c r="I5" s="108"/>
      <c r="J5" s="107" t="s">
        <v>3</v>
      </c>
      <c r="K5" s="109"/>
      <c r="L5" s="109"/>
      <c r="M5" s="108"/>
      <c r="N5" s="105" t="s">
        <v>26</v>
      </c>
    </row>
    <row r="6" spans="2:22" ht="27" customHeight="1" thickBot="1" x14ac:dyDescent="0.4">
      <c r="B6" s="112"/>
      <c r="C6" s="5"/>
      <c r="D6" s="5"/>
      <c r="E6" s="60" t="s">
        <v>5</v>
      </c>
      <c r="F6" s="61" t="s">
        <v>6</v>
      </c>
      <c r="G6" s="60" t="s">
        <v>5</v>
      </c>
      <c r="H6" s="59" t="s">
        <v>51</v>
      </c>
      <c r="I6" s="61" t="s">
        <v>8</v>
      </c>
      <c r="J6" s="60" t="s">
        <v>7</v>
      </c>
      <c r="K6" s="59" t="s">
        <v>6</v>
      </c>
      <c r="L6" s="59" t="s">
        <v>50</v>
      </c>
      <c r="M6" s="61" t="s">
        <v>9</v>
      </c>
      <c r="N6" s="106"/>
    </row>
    <row r="7" spans="2:22" ht="14.5" x14ac:dyDescent="0.35">
      <c r="B7" s="74">
        <v>1</v>
      </c>
      <c r="C7" s="9"/>
      <c r="D7" s="9"/>
      <c r="E7" s="62"/>
      <c r="F7" s="63"/>
      <c r="G7" s="62"/>
      <c r="H7" s="54"/>
      <c r="I7" s="63"/>
      <c r="J7" s="62"/>
      <c r="K7" s="54"/>
      <c r="L7" s="54"/>
      <c r="M7" s="63"/>
      <c r="N7" s="71">
        <f>G7+E7+J7</f>
        <v>0</v>
      </c>
      <c r="V7" t="s">
        <v>10</v>
      </c>
    </row>
    <row r="8" spans="2:22" ht="14.5" x14ac:dyDescent="0.35">
      <c r="B8" s="75">
        <v>2</v>
      </c>
      <c r="C8" s="9"/>
      <c r="D8" s="9"/>
      <c r="E8" s="62"/>
      <c r="F8" s="63"/>
      <c r="G8" s="62"/>
      <c r="H8" s="54"/>
      <c r="I8" s="63"/>
      <c r="J8" s="62"/>
      <c r="K8" s="54"/>
      <c r="L8" s="54"/>
      <c r="M8" s="63"/>
      <c r="N8" s="71">
        <f>G8+E8+J8</f>
        <v>0</v>
      </c>
      <c r="V8" t="s">
        <v>11</v>
      </c>
    </row>
    <row r="9" spans="2:22" ht="14.5" x14ac:dyDescent="0.35">
      <c r="B9" s="75">
        <v>3</v>
      </c>
      <c r="C9" s="9"/>
      <c r="D9" s="9"/>
      <c r="E9" s="62"/>
      <c r="F9" s="63"/>
      <c r="G9" s="62"/>
      <c r="H9" s="54"/>
      <c r="I9" s="63"/>
      <c r="J9" s="62"/>
      <c r="K9" s="54"/>
      <c r="L9" s="54"/>
      <c r="M9" s="63"/>
      <c r="N9" s="71">
        <f>G9+E9+J9</f>
        <v>0</v>
      </c>
      <c r="V9" t="s">
        <v>2</v>
      </c>
    </row>
    <row r="10" spans="2:22" ht="14.5" x14ac:dyDescent="0.35">
      <c r="B10" s="75">
        <v>4</v>
      </c>
      <c r="C10" s="9"/>
      <c r="D10" s="9"/>
      <c r="E10" s="62"/>
      <c r="F10" s="63"/>
      <c r="G10" s="62"/>
      <c r="H10" s="54"/>
      <c r="I10" s="63"/>
      <c r="J10" s="62"/>
      <c r="K10" s="54"/>
      <c r="L10" s="54"/>
      <c r="M10" s="63"/>
      <c r="N10" s="71">
        <f t="shared" ref="N10:N37" si="0">G10+E10+J10</f>
        <v>0</v>
      </c>
      <c r="V10" t="s">
        <v>12</v>
      </c>
    </row>
    <row r="11" spans="2:22" ht="14.5" x14ac:dyDescent="0.35">
      <c r="B11" s="75">
        <v>5</v>
      </c>
      <c r="C11" s="9"/>
      <c r="D11" s="9"/>
      <c r="E11" s="62"/>
      <c r="F11" s="63"/>
      <c r="G11" s="62"/>
      <c r="H11" s="54"/>
      <c r="I11" s="63"/>
      <c r="J11" s="62"/>
      <c r="K11" s="54"/>
      <c r="L11" s="54"/>
      <c r="M11" s="63"/>
      <c r="N11" s="71">
        <f t="shared" si="0"/>
        <v>0</v>
      </c>
      <c r="V11" t="s">
        <v>13</v>
      </c>
    </row>
    <row r="12" spans="2:22" ht="14.5" x14ac:dyDescent="0.35">
      <c r="B12" s="76">
        <v>6</v>
      </c>
      <c r="C12" s="9"/>
      <c r="D12" s="9"/>
      <c r="E12" s="62"/>
      <c r="F12" s="63"/>
      <c r="G12" s="62"/>
      <c r="H12" s="54"/>
      <c r="I12" s="63"/>
      <c r="J12" s="62"/>
      <c r="K12" s="54"/>
      <c r="L12" s="54"/>
      <c r="M12" s="63"/>
      <c r="N12" s="71">
        <f t="shared" si="0"/>
        <v>0</v>
      </c>
      <c r="V12" t="s">
        <v>14</v>
      </c>
    </row>
    <row r="13" spans="2:22" ht="14.5" x14ac:dyDescent="0.35">
      <c r="B13" s="75">
        <v>7</v>
      </c>
      <c r="C13" s="9"/>
      <c r="D13" s="9"/>
      <c r="E13" s="62"/>
      <c r="F13" s="63"/>
      <c r="G13" s="62"/>
      <c r="H13" s="54"/>
      <c r="I13" s="63"/>
      <c r="J13" s="62"/>
      <c r="K13" s="54"/>
      <c r="L13" s="54"/>
      <c r="M13" s="63"/>
      <c r="N13" s="71">
        <f t="shared" si="0"/>
        <v>0</v>
      </c>
      <c r="V13" t="s">
        <v>15</v>
      </c>
    </row>
    <row r="14" spans="2:22" ht="14.5" x14ac:dyDescent="0.35">
      <c r="B14" s="75">
        <v>8</v>
      </c>
      <c r="E14" s="62"/>
      <c r="F14" s="63"/>
      <c r="G14" s="62"/>
      <c r="H14" s="54"/>
      <c r="I14" s="63"/>
      <c r="J14" s="62"/>
      <c r="K14" s="54"/>
      <c r="L14" s="54"/>
      <c r="M14" s="63"/>
      <c r="N14" s="71">
        <f t="shared" si="0"/>
        <v>0</v>
      </c>
      <c r="V14" t="s">
        <v>16</v>
      </c>
    </row>
    <row r="15" spans="2:22" ht="14.5" x14ac:dyDescent="0.35">
      <c r="B15" s="75">
        <v>9</v>
      </c>
      <c r="E15" s="62"/>
      <c r="F15" s="63"/>
      <c r="G15" s="62"/>
      <c r="H15" s="54"/>
      <c r="I15" s="63"/>
      <c r="J15" s="62"/>
      <c r="K15" s="54"/>
      <c r="L15" s="54"/>
      <c r="M15" s="63"/>
      <c r="N15" s="71">
        <f t="shared" si="0"/>
        <v>0</v>
      </c>
      <c r="V15" t="s">
        <v>17</v>
      </c>
    </row>
    <row r="16" spans="2:22" ht="14.5" x14ac:dyDescent="0.35">
      <c r="B16" s="75">
        <v>10</v>
      </c>
      <c r="E16" s="62"/>
      <c r="F16" s="63"/>
      <c r="G16" s="62"/>
      <c r="H16" s="54"/>
      <c r="I16" s="63"/>
      <c r="J16" s="62"/>
      <c r="K16" s="54"/>
      <c r="L16" s="54"/>
      <c r="M16" s="63"/>
      <c r="N16" s="71">
        <f t="shared" si="0"/>
        <v>0</v>
      </c>
      <c r="V16" t="s">
        <v>18</v>
      </c>
    </row>
    <row r="17" spans="2:22" ht="14.5" x14ac:dyDescent="0.35">
      <c r="B17" s="75">
        <v>11</v>
      </c>
      <c r="E17" s="62"/>
      <c r="F17" s="63"/>
      <c r="G17" s="62"/>
      <c r="H17" s="54"/>
      <c r="I17" s="63"/>
      <c r="J17" s="62"/>
      <c r="K17" s="54"/>
      <c r="L17" s="54"/>
      <c r="M17" s="63"/>
      <c r="N17" s="71">
        <f t="shared" si="0"/>
        <v>0</v>
      </c>
      <c r="V17" t="s">
        <v>19</v>
      </c>
    </row>
    <row r="18" spans="2:22" ht="14.5" x14ac:dyDescent="0.35">
      <c r="B18" s="75">
        <v>12</v>
      </c>
      <c r="E18" s="62"/>
      <c r="F18" s="63"/>
      <c r="G18" s="62"/>
      <c r="H18" s="54"/>
      <c r="I18" s="63"/>
      <c r="J18" s="62"/>
      <c r="K18" s="54"/>
      <c r="L18" s="54"/>
      <c r="M18" s="63"/>
      <c r="N18" s="71">
        <f t="shared" si="0"/>
        <v>0</v>
      </c>
      <c r="V18" t="s">
        <v>20</v>
      </c>
    </row>
    <row r="19" spans="2:22" ht="14.5" x14ac:dyDescent="0.35">
      <c r="B19" s="75">
        <v>13</v>
      </c>
      <c r="E19" s="62"/>
      <c r="F19" s="63"/>
      <c r="G19" s="62"/>
      <c r="H19" s="54"/>
      <c r="I19" s="63"/>
      <c r="J19" s="62"/>
      <c r="K19" s="54"/>
      <c r="L19" s="54"/>
      <c r="M19" s="63"/>
      <c r="N19" s="71">
        <f t="shared" si="0"/>
        <v>0</v>
      </c>
    </row>
    <row r="20" spans="2:22" ht="14.5" x14ac:dyDescent="0.35">
      <c r="B20" s="76">
        <v>14</v>
      </c>
      <c r="E20" s="62"/>
      <c r="F20" s="63"/>
      <c r="G20" s="62"/>
      <c r="H20" s="54"/>
      <c r="I20" s="63"/>
      <c r="J20" s="62"/>
      <c r="K20" s="54"/>
      <c r="L20" s="54"/>
      <c r="M20" s="63"/>
      <c r="N20" s="71">
        <f t="shared" si="0"/>
        <v>0</v>
      </c>
    </row>
    <row r="21" spans="2:22" ht="14.5" x14ac:dyDescent="0.35">
      <c r="B21" s="75">
        <v>15</v>
      </c>
      <c r="E21" s="62"/>
      <c r="F21" s="63"/>
      <c r="G21" s="62"/>
      <c r="H21" s="54"/>
      <c r="I21" s="63"/>
      <c r="J21" s="62"/>
      <c r="K21" s="54"/>
      <c r="L21" s="54"/>
      <c r="M21" s="63"/>
      <c r="N21" s="71">
        <f t="shared" si="0"/>
        <v>0</v>
      </c>
    </row>
    <row r="22" spans="2:22" ht="14.5" x14ac:dyDescent="0.35">
      <c r="B22" s="75">
        <v>16</v>
      </c>
      <c r="E22" s="62"/>
      <c r="F22" s="63"/>
      <c r="G22" s="62"/>
      <c r="H22" s="54"/>
      <c r="I22" s="63"/>
      <c r="J22" s="62"/>
      <c r="K22" s="54"/>
      <c r="L22" s="54"/>
      <c r="M22" s="63"/>
      <c r="N22" s="71">
        <f t="shared" si="0"/>
        <v>0</v>
      </c>
    </row>
    <row r="23" spans="2:22" ht="14.5" x14ac:dyDescent="0.35">
      <c r="B23" s="75">
        <v>17</v>
      </c>
      <c r="E23" s="62"/>
      <c r="F23" s="63"/>
      <c r="G23" s="62"/>
      <c r="H23" s="54"/>
      <c r="I23" s="63"/>
      <c r="J23" s="62"/>
      <c r="K23" s="54"/>
      <c r="L23" s="54"/>
      <c r="M23" s="63"/>
      <c r="N23" s="71">
        <f t="shared" si="0"/>
        <v>0</v>
      </c>
    </row>
    <row r="24" spans="2:22" ht="14.5" x14ac:dyDescent="0.35">
      <c r="B24" s="75">
        <v>18</v>
      </c>
      <c r="E24" s="62"/>
      <c r="F24" s="63"/>
      <c r="G24" s="62"/>
      <c r="H24" s="54"/>
      <c r="I24" s="63"/>
      <c r="J24" s="62"/>
      <c r="K24" s="54"/>
      <c r="L24" s="54"/>
      <c r="M24" s="63"/>
      <c r="N24" s="71">
        <f t="shared" si="0"/>
        <v>0</v>
      </c>
    </row>
    <row r="25" spans="2:22" ht="14.5" x14ac:dyDescent="0.35">
      <c r="B25" s="75">
        <v>19</v>
      </c>
      <c r="E25" s="62"/>
      <c r="F25" s="63"/>
      <c r="G25" s="62"/>
      <c r="H25" s="54"/>
      <c r="I25" s="63"/>
      <c r="J25" s="62"/>
      <c r="K25" s="54"/>
      <c r="L25" s="54"/>
      <c r="M25" s="63"/>
      <c r="N25" s="71">
        <f t="shared" si="0"/>
        <v>0</v>
      </c>
    </row>
    <row r="26" spans="2:22" ht="14.5" x14ac:dyDescent="0.35">
      <c r="B26" s="75">
        <v>20</v>
      </c>
      <c r="E26" s="62"/>
      <c r="F26" s="63"/>
      <c r="G26" s="62"/>
      <c r="H26" s="54"/>
      <c r="I26" s="63"/>
      <c r="J26" s="62"/>
      <c r="K26" s="54"/>
      <c r="L26" s="54"/>
      <c r="M26" s="63"/>
      <c r="N26" s="71">
        <f t="shared" si="0"/>
        <v>0</v>
      </c>
    </row>
    <row r="27" spans="2:22" ht="14.5" x14ac:dyDescent="0.35">
      <c r="B27" s="75">
        <v>21</v>
      </c>
      <c r="E27" s="62"/>
      <c r="F27" s="63"/>
      <c r="G27" s="62"/>
      <c r="H27" s="54"/>
      <c r="I27" s="63"/>
      <c r="J27" s="62"/>
      <c r="K27" s="54"/>
      <c r="L27" s="54"/>
      <c r="M27" s="63"/>
      <c r="N27" s="71">
        <f t="shared" si="0"/>
        <v>0</v>
      </c>
    </row>
    <row r="28" spans="2:22" ht="14.5" x14ac:dyDescent="0.35">
      <c r="B28" s="76">
        <v>22</v>
      </c>
      <c r="E28" s="62"/>
      <c r="F28" s="63"/>
      <c r="G28" s="62"/>
      <c r="H28" s="54"/>
      <c r="I28" s="63"/>
      <c r="J28" s="62"/>
      <c r="K28" s="54"/>
      <c r="L28" s="54"/>
      <c r="M28" s="63"/>
      <c r="N28" s="71">
        <f t="shared" si="0"/>
        <v>0</v>
      </c>
    </row>
    <row r="29" spans="2:22" ht="14.5" x14ac:dyDescent="0.35">
      <c r="B29" s="75">
        <v>23</v>
      </c>
      <c r="E29" s="62"/>
      <c r="F29" s="63"/>
      <c r="G29" s="62"/>
      <c r="H29" s="54"/>
      <c r="I29" s="63"/>
      <c r="J29" s="62"/>
      <c r="K29" s="54"/>
      <c r="L29" s="54"/>
      <c r="M29" s="63"/>
      <c r="N29" s="71">
        <f t="shared" si="0"/>
        <v>0</v>
      </c>
    </row>
    <row r="30" spans="2:22" ht="14.5" x14ac:dyDescent="0.35">
      <c r="B30" s="75">
        <v>24</v>
      </c>
      <c r="E30" s="62"/>
      <c r="F30" s="63"/>
      <c r="G30" s="62"/>
      <c r="H30" s="54"/>
      <c r="I30" s="63"/>
      <c r="J30" s="62"/>
      <c r="K30" s="54"/>
      <c r="L30" s="54"/>
      <c r="M30" s="63"/>
      <c r="N30" s="71">
        <f t="shared" si="0"/>
        <v>0</v>
      </c>
    </row>
    <row r="31" spans="2:22" ht="14.5" x14ac:dyDescent="0.35">
      <c r="B31" s="75">
        <v>25</v>
      </c>
      <c r="E31" s="62"/>
      <c r="F31" s="63"/>
      <c r="G31" s="62"/>
      <c r="H31" s="54"/>
      <c r="I31" s="63"/>
      <c r="J31" s="62"/>
      <c r="K31" s="54"/>
      <c r="L31" s="54"/>
      <c r="M31" s="63"/>
      <c r="N31" s="71">
        <f t="shared" si="0"/>
        <v>0</v>
      </c>
    </row>
    <row r="32" spans="2:22" ht="14.5" x14ac:dyDescent="0.35">
      <c r="B32" s="75">
        <v>26</v>
      </c>
      <c r="E32" s="62"/>
      <c r="F32" s="63"/>
      <c r="G32" s="62"/>
      <c r="H32" s="54"/>
      <c r="I32" s="63"/>
      <c r="J32" s="62"/>
      <c r="K32" s="54"/>
      <c r="L32" s="54"/>
      <c r="M32" s="63"/>
      <c r="N32" s="71">
        <f t="shared" si="0"/>
        <v>0</v>
      </c>
    </row>
    <row r="33" spans="2:14" ht="14.5" x14ac:dyDescent="0.35">
      <c r="B33" s="75">
        <v>27</v>
      </c>
      <c r="E33" s="62"/>
      <c r="F33" s="63"/>
      <c r="G33" s="62"/>
      <c r="H33" s="54"/>
      <c r="I33" s="63"/>
      <c r="J33" s="62"/>
      <c r="K33" s="54"/>
      <c r="L33" s="54"/>
      <c r="M33" s="63"/>
      <c r="N33" s="71">
        <f t="shared" si="0"/>
        <v>0</v>
      </c>
    </row>
    <row r="34" spans="2:14" ht="14.5" x14ac:dyDescent="0.35">
      <c r="B34" s="75">
        <v>28</v>
      </c>
      <c r="E34" s="62"/>
      <c r="F34" s="63"/>
      <c r="G34" s="62"/>
      <c r="H34" s="54"/>
      <c r="I34" s="63"/>
      <c r="J34" s="62"/>
      <c r="K34" s="54"/>
      <c r="L34" s="54"/>
      <c r="M34" s="63"/>
      <c r="N34" s="71">
        <f t="shared" si="0"/>
        <v>0</v>
      </c>
    </row>
    <row r="35" spans="2:14" ht="14.5" x14ac:dyDescent="0.35">
      <c r="B35" s="75">
        <v>29</v>
      </c>
      <c r="E35" s="62"/>
      <c r="F35" s="63"/>
      <c r="G35" s="62"/>
      <c r="H35" s="54"/>
      <c r="I35" s="63"/>
      <c r="J35" s="62"/>
      <c r="K35" s="54"/>
      <c r="L35" s="54"/>
      <c r="M35" s="63"/>
      <c r="N35" s="71">
        <f t="shared" si="0"/>
        <v>0</v>
      </c>
    </row>
    <row r="36" spans="2:14" ht="14.5" x14ac:dyDescent="0.35">
      <c r="B36" s="76">
        <v>30</v>
      </c>
      <c r="E36" s="62"/>
      <c r="F36" s="63"/>
      <c r="G36" s="62"/>
      <c r="H36" s="54"/>
      <c r="I36" s="63"/>
      <c r="J36" s="62"/>
      <c r="K36" s="54"/>
      <c r="L36" s="54"/>
      <c r="M36" s="63"/>
      <c r="N36" s="71">
        <f t="shared" si="0"/>
        <v>0</v>
      </c>
    </row>
    <row r="37" spans="2:14" ht="15" thickBot="1" x14ac:dyDescent="0.4">
      <c r="B37" s="77">
        <v>31</v>
      </c>
      <c r="E37" s="64"/>
      <c r="F37" s="66"/>
      <c r="G37" s="64"/>
      <c r="H37" s="54"/>
      <c r="I37" s="66"/>
      <c r="J37" s="64"/>
      <c r="K37" s="65"/>
      <c r="L37" s="65"/>
      <c r="M37" s="66"/>
      <c r="N37" s="72">
        <f t="shared" si="0"/>
        <v>0</v>
      </c>
    </row>
    <row r="38" spans="2:14" ht="14.5" customHeight="1" thickBot="1" x14ac:dyDescent="0.4"/>
    <row r="39" spans="2:14" ht="19" customHeight="1" thickBot="1" x14ac:dyDescent="0.4">
      <c r="B39" s="73" t="s">
        <v>44</v>
      </c>
      <c r="E39" s="67">
        <f>SUM(E7:E16)</f>
        <v>0</v>
      </c>
      <c r="F39" s="69">
        <f t="shared" ref="F39:N39" si="1">SUM(F7:F16)</f>
        <v>0</v>
      </c>
      <c r="G39" s="67">
        <f t="shared" si="1"/>
        <v>0</v>
      </c>
      <c r="H39" s="68">
        <f t="shared" si="1"/>
        <v>0</v>
      </c>
      <c r="I39" s="69">
        <f t="shared" si="1"/>
        <v>0</v>
      </c>
      <c r="J39" s="67">
        <f t="shared" si="1"/>
        <v>0</v>
      </c>
      <c r="K39" s="68">
        <f t="shared" si="1"/>
        <v>0</v>
      </c>
      <c r="L39" s="68">
        <f t="shared" si="1"/>
        <v>0</v>
      </c>
      <c r="M39" s="69">
        <f t="shared" si="1"/>
        <v>0</v>
      </c>
      <c r="N39" s="70">
        <f t="shared" si="1"/>
        <v>0</v>
      </c>
    </row>
    <row r="40" spans="2:14" ht="7" customHeight="1" thickBot="1" x14ac:dyDescent="0.4">
      <c r="E40" s="17"/>
      <c r="G40" s="17"/>
      <c r="J40" s="17"/>
      <c r="N40" s="17"/>
    </row>
    <row r="41" spans="2:14" ht="19" customHeight="1" thickBot="1" x14ac:dyDescent="0.4">
      <c r="B41" s="73" t="s">
        <v>45</v>
      </c>
      <c r="E41" s="67">
        <f>SUM(E17:E26)</f>
        <v>0</v>
      </c>
      <c r="F41" s="69">
        <f t="shared" ref="F41:N41" si="2">SUM(F17:F26)</f>
        <v>0</v>
      </c>
      <c r="G41" s="67">
        <f t="shared" si="2"/>
        <v>0</v>
      </c>
      <c r="H41" s="68">
        <f t="shared" si="2"/>
        <v>0</v>
      </c>
      <c r="I41" s="69">
        <f t="shared" si="2"/>
        <v>0</v>
      </c>
      <c r="J41" s="67">
        <f t="shared" si="2"/>
        <v>0</v>
      </c>
      <c r="K41" s="68">
        <f t="shared" si="2"/>
        <v>0</v>
      </c>
      <c r="L41" s="68">
        <f t="shared" si="2"/>
        <v>0</v>
      </c>
      <c r="M41" s="69">
        <f t="shared" si="2"/>
        <v>0</v>
      </c>
      <c r="N41" s="70">
        <f t="shared" si="2"/>
        <v>0</v>
      </c>
    </row>
    <row r="42" spans="2:14" ht="7" customHeight="1" thickBot="1" x14ac:dyDescent="0.4">
      <c r="E42" s="17"/>
      <c r="G42" s="17"/>
      <c r="J42" s="17"/>
      <c r="N42" s="17"/>
    </row>
    <row r="43" spans="2:14" ht="19" customHeight="1" thickBot="1" x14ac:dyDescent="0.4">
      <c r="B43" s="73" t="s">
        <v>46</v>
      </c>
      <c r="E43" s="67">
        <f>SUM(E27:E37)</f>
        <v>0</v>
      </c>
      <c r="F43" s="69">
        <f t="shared" ref="F43:N43" si="3">SUM(F27:F37)</f>
        <v>0</v>
      </c>
      <c r="G43" s="67">
        <f t="shared" si="3"/>
        <v>0</v>
      </c>
      <c r="H43" s="68">
        <f t="shared" si="3"/>
        <v>0</v>
      </c>
      <c r="I43" s="69">
        <f t="shared" si="3"/>
        <v>0</v>
      </c>
      <c r="J43" s="67">
        <f t="shared" si="3"/>
        <v>0</v>
      </c>
      <c r="K43" s="68">
        <f t="shared" si="3"/>
        <v>0</v>
      </c>
      <c r="L43" s="68">
        <f t="shared" si="3"/>
        <v>0</v>
      </c>
      <c r="M43" s="69">
        <f t="shared" si="3"/>
        <v>0</v>
      </c>
      <c r="N43" s="70">
        <f t="shared" si="3"/>
        <v>0</v>
      </c>
    </row>
    <row r="44" spans="2:14" ht="7" customHeight="1" thickBot="1" x14ac:dyDescent="0.4">
      <c r="E44" s="17"/>
      <c r="G44" s="17"/>
      <c r="J44" s="17"/>
      <c r="N44" s="17"/>
    </row>
    <row r="45" spans="2:14" ht="26.5" customHeight="1" thickBot="1" x14ac:dyDescent="0.4">
      <c r="B45" s="78" t="s">
        <v>24</v>
      </c>
      <c r="E45" s="15">
        <f>E39+E41+E43</f>
        <v>0</v>
      </c>
      <c r="F45" s="15">
        <f t="shared" ref="F45:M45" si="4">F39+F41+F43</f>
        <v>0</v>
      </c>
      <c r="G45" s="15">
        <f t="shared" si="4"/>
        <v>0</v>
      </c>
      <c r="H45" s="15">
        <f t="shared" si="4"/>
        <v>0</v>
      </c>
      <c r="I45" s="15">
        <f t="shared" si="4"/>
        <v>0</v>
      </c>
      <c r="J45" s="15">
        <f t="shared" si="4"/>
        <v>0</v>
      </c>
      <c r="K45" s="15">
        <f t="shared" si="4"/>
        <v>0</v>
      </c>
      <c r="L45" s="15">
        <f t="shared" si="4"/>
        <v>0</v>
      </c>
      <c r="M45" s="26">
        <f t="shared" si="4"/>
        <v>0</v>
      </c>
      <c r="N45" s="30">
        <f>N39+N41+N43</f>
        <v>0</v>
      </c>
    </row>
    <row r="46" spans="2:14" ht="14.5" customHeight="1" x14ac:dyDescent="0.35"/>
    <row r="47" spans="2:14" ht="14.5" customHeight="1" x14ac:dyDescent="0.35">
      <c r="B47" t="s">
        <v>54</v>
      </c>
    </row>
  </sheetData>
  <sheetProtection sheet="1" objects="1" scenarios="1"/>
  <mergeCells count="9">
    <mergeCell ref="B1:H1"/>
    <mergeCell ref="I1:N1"/>
    <mergeCell ref="B3:H3"/>
    <mergeCell ref="I3:N3"/>
    <mergeCell ref="B5:B6"/>
    <mergeCell ref="E5:F5"/>
    <mergeCell ref="G5:I5"/>
    <mergeCell ref="J5:M5"/>
    <mergeCell ref="N5:N6"/>
  </mergeCells>
  <dataValidations count="2">
    <dataValidation type="list" allowBlank="1" showInputMessage="1" showErrorMessage="1" sqref="I3" xr:uid="{70339E94-834E-4301-81E9-79AF617D5CF1}">
      <formula1>$V$7:$V$18</formula1>
    </dataValidation>
    <dataValidation type="list" allowBlank="1" showInputMessage="1" showErrorMessage="1" sqref="E7:M37" xr:uid="{7E888468-A05A-4BDF-A353-479CAA8E2274}">
      <formula1>"0,1,2,3,4,5,6,7,8,9,10,11,12,13,14,15,16,17,18,19,20"</formula1>
    </dataValidation>
  </dataValidations>
  <pageMargins left="0.51181102362204722" right="0.51181102362204722" top="0.39370078740157483" bottom="0.39370078740157483" header="0.31496062992125984" footer="0.31496062992125984"/>
  <pageSetup paperSize="9" scale="61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39CA9-8577-4794-A21E-CD9521EF9A47}">
  <sheetPr>
    <tabColor rgb="FF00B050"/>
  </sheetPr>
  <dimension ref="A1:T31"/>
  <sheetViews>
    <sheetView showGridLines="0" zoomScale="110" zoomScaleNormal="110" workbookViewId="0">
      <selection activeCell="B31" sqref="B31:G31"/>
    </sheetView>
  </sheetViews>
  <sheetFormatPr defaultColWidth="0" defaultRowHeight="0" customHeight="1" zeroHeight="1" x14ac:dyDescent="0.35"/>
  <cols>
    <col min="1" max="1" width="15" customWidth="1"/>
    <col min="2" max="2" width="10.08984375" bestFit="1" customWidth="1"/>
    <col min="3" max="7" width="10.08984375" customWidth="1"/>
    <col min="8" max="16384" width="8.7265625" hidden="1"/>
  </cols>
  <sheetData>
    <row r="1" spans="1:20" ht="20" customHeight="1" x14ac:dyDescent="0.35">
      <c r="A1" s="37" t="s">
        <v>31</v>
      </c>
      <c r="B1" s="120">
        <f ca="1">B3</f>
        <v>45886</v>
      </c>
      <c r="C1" s="120"/>
      <c r="D1" s="120"/>
      <c r="E1" s="120"/>
      <c r="F1" s="120"/>
      <c r="G1" s="121"/>
    </row>
    <row r="2" spans="1:20" ht="7.5" customHeight="1" x14ac:dyDescent="0.35">
      <c r="A2" s="38"/>
      <c r="B2" s="39"/>
      <c r="C2" s="39"/>
      <c r="D2" s="39"/>
      <c r="E2" s="39"/>
      <c r="F2" s="39"/>
      <c r="G2" s="40"/>
    </row>
    <row r="3" spans="1:20" ht="19" customHeight="1" x14ac:dyDescent="0.35">
      <c r="A3" s="41" t="s">
        <v>32</v>
      </c>
      <c r="B3" s="122">
        <f ca="1">TODAY()</f>
        <v>45886</v>
      </c>
      <c r="C3" s="122"/>
      <c r="D3" s="122"/>
      <c r="E3" s="122"/>
      <c r="F3" s="122"/>
      <c r="G3" s="123"/>
    </row>
    <row r="4" spans="1:20" ht="7.5" customHeight="1" x14ac:dyDescent="0.35">
      <c r="A4" s="38"/>
      <c r="B4" s="39"/>
      <c r="C4" s="39"/>
      <c r="D4" s="39"/>
      <c r="E4" s="39"/>
      <c r="F4" s="39"/>
      <c r="G4" s="40"/>
    </row>
    <row r="5" spans="1:20" ht="19" customHeight="1" x14ac:dyDescent="0.35">
      <c r="A5" s="41" t="s">
        <v>33</v>
      </c>
      <c r="B5" s="124"/>
      <c r="C5" s="124"/>
      <c r="D5" s="124"/>
      <c r="E5" s="124"/>
      <c r="F5" s="124"/>
      <c r="G5" s="125"/>
    </row>
    <row r="6" spans="1:20" ht="7.5" customHeight="1" x14ac:dyDescent="0.35">
      <c r="A6" s="38"/>
      <c r="B6" s="42"/>
      <c r="C6" s="42"/>
      <c r="D6" s="42"/>
      <c r="E6" s="42"/>
      <c r="F6" s="42"/>
      <c r="G6" s="43"/>
    </row>
    <row r="7" spans="1:20" ht="19" customHeight="1" x14ac:dyDescent="0.35">
      <c r="A7" s="41" t="s">
        <v>34</v>
      </c>
      <c r="B7" s="126" t="s">
        <v>35</v>
      </c>
      <c r="C7" s="127"/>
      <c r="D7" s="127"/>
      <c r="E7" s="58">
        <f ca="1">DAY(B3)/VLOOKUP(MONTH(B1),S11:T22,2,0)</f>
        <v>0.54838709677419351</v>
      </c>
      <c r="F7" s="32" t="s">
        <v>36</v>
      </c>
      <c r="G7" s="44"/>
    </row>
    <row r="8" spans="1:20" ht="7.5" customHeight="1" x14ac:dyDescent="0.35">
      <c r="A8" s="38"/>
      <c r="B8" s="42"/>
      <c r="C8" s="42"/>
      <c r="D8" s="42"/>
      <c r="E8" s="42"/>
      <c r="F8" s="42"/>
      <c r="G8" s="43"/>
    </row>
    <row r="9" spans="1:20" ht="19" customHeight="1" x14ac:dyDescent="0.35">
      <c r="A9" s="41" t="s">
        <v>37</v>
      </c>
      <c r="B9" s="128">
        <f>F19</f>
        <v>0</v>
      </c>
      <c r="C9" s="128"/>
      <c r="D9" s="128"/>
      <c r="E9" s="128"/>
      <c r="F9" s="128"/>
      <c r="G9" s="129"/>
    </row>
    <row r="10" spans="1:20" ht="7.5" customHeight="1" x14ac:dyDescent="0.35">
      <c r="A10" s="45"/>
      <c r="G10" s="46"/>
    </row>
    <row r="11" spans="1:20" ht="14.5" x14ac:dyDescent="0.35">
      <c r="A11" s="113" t="s">
        <v>38</v>
      </c>
      <c r="B11" s="130" t="s">
        <v>39</v>
      </c>
      <c r="C11" s="132" t="s">
        <v>40</v>
      </c>
      <c r="D11" s="133"/>
      <c r="E11" s="133"/>
      <c r="F11" s="133"/>
      <c r="G11" s="134"/>
      <c r="Q11" s="35"/>
      <c r="S11" s="22">
        <v>1</v>
      </c>
      <c r="T11" s="22">
        <v>31</v>
      </c>
    </row>
    <row r="12" spans="1:20" ht="14.5" x14ac:dyDescent="0.35">
      <c r="A12" s="113"/>
      <c r="B12" s="131"/>
      <c r="C12" s="36" t="s">
        <v>41</v>
      </c>
      <c r="D12" s="36" t="s">
        <v>27</v>
      </c>
      <c r="E12" s="36" t="s">
        <v>53</v>
      </c>
      <c r="F12" s="36" t="s">
        <v>24</v>
      </c>
      <c r="G12" s="47" t="s">
        <v>42</v>
      </c>
      <c r="S12" s="22">
        <v>2</v>
      </c>
      <c r="T12" s="22">
        <v>28</v>
      </c>
    </row>
    <row r="13" spans="1:20" ht="14.5" x14ac:dyDescent="0.35">
      <c r="A13" s="80">
        <f>RESUMO!A4</f>
        <v>0</v>
      </c>
      <c r="B13" s="57">
        <v>6</v>
      </c>
      <c r="C13" s="56">
        <f>VLOOKUP(A13,RESUMO!$A$4:$K$9,2,0)</f>
        <v>0</v>
      </c>
      <c r="D13" s="56">
        <f>VLOOKUP(A13,RESUMO!$A$4:$K$9,4,0)</f>
        <v>0</v>
      </c>
      <c r="E13" s="56">
        <f>VLOOKUP(A13,RESUMO!$A$4:$K$9,7,0)</f>
        <v>0</v>
      </c>
      <c r="F13" s="33">
        <f t="shared" ref="F13:F18" si="0">SUM(C13:E13)</f>
        <v>0</v>
      </c>
      <c r="G13" s="48">
        <f t="shared" ref="G13:G19" si="1">IFERROR(F13/B13,"")</f>
        <v>0</v>
      </c>
      <c r="S13" s="22">
        <v>3</v>
      </c>
      <c r="T13" s="22">
        <v>31</v>
      </c>
    </row>
    <row r="14" spans="1:20" ht="14.5" x14ac:dyDescent="0.35">
      <c r="A14" s="80">
        <f>RESUMO!A5</f>
        <v>0</v>
      </c>
      <c r="B14" s="57">
        <v>6</v>
      </c>
      <c r="C14" s="56">
        <f>VLOOKUP(A14,RESUMO!$A$4:$K$9,2,0)</f>
        <v>0</v>
      </c>
      <c r="D14" s="56">
        <f>VLOOKUP(A14,RESUMO!$A$4:$K$9,4,0)</f>
        <v>0</v>
      </c>
      <c r="E14" s="56">
        <f>VLOOKUP(A14,RESUMO!$A$4:$K$9,7,0)</f>
        <v>0</v>
      </c>
      <c r="F14" s="33">
        <f t="shared" si="0"/>
        <v>0</v>
      </c>
      <c r="G14" s="48">
        <f t="shared" si="1"/>
        <v>0</v>
      </c>
      <c r="S14" s="22">
        <v>4</v>
      </c>
      <c r="T14" s="22">
        <v>30</v>
      </c>
    </row>
    <row r="15" spans="1:20" ht="14.5" x14ac:dyDescent="0.35">
      <c r="A15" s="80">
        <f>RESUMO!A6</f>
        <v>0</v>
      </c>
      <c r="B15" s="57">
        <v>6</v>
      </c>
      <c r="C15" s="56">
        <f>VLOOKUP(A15,RESUMO!$A$4:$K$9,2,0)</f>
        <v>0</v>
      </c>
      <c r="D15" s="56">
        <f>VLOOKUP(A15,RESUMO!$A$4:$K$9,4,0)</f>
        <v>0</v>
      </c>
      <c r="E15" s="56">
        <f>VLOOKUP(A15,RESUMO!$A$4:$K$9,7,0)</f>
        <v>0</v>
      </c>
      <c r="F15" s="33">
        <f t="shared" si="0"/>
        <v>0</v>
      </c>
      <c r="G15" s="48">
        <f t="shared" si="1"/>
        <v>0</v>
      </c>
      <c r="S15" s="22">
        <v>5</v>
      </c>
      <c r="T15" s="22">
        <v>31</v>
      </c>
    </row>
    <row r="16" spans="1:20" ht="14.5" x14ac:dyDescent="0.35">
      <c r="A16" s="80">
        <f>RESUMO!A7</f>
        <v>0</v>
      </c>
      <c r="B16" s="57">
        <v>6</v>
      </c>
      <c r="C16" s="56">
        <f>VLOOKUP(A16,RESUMO!$A$4:$K$9,2,0)</f>
        <v>0</v>
      </c>
      <c r="D16" s="56">
        <f>VLOOKUP(A16,RESUMO!$A$4:$K$9,4,0)</f>
        <v>0</v>
      </c>
      <c r="E16" s="56">
        <f>VLOOKUP(A16,RESUMO!$A$4:$K$9,7,0)</f>
        <v>0</v>
      </c>
      <c r="F16" s="33">
        <f t="shared" si="0"/>
        <v>0</v>
      </c>
      <c r="G16" s="48">
        <f t="shared" si="1"/>
        <v>0</v>
      </c>
      <c r="S16" s="22">
        <v>6</v>
      </c>
      <c r="T16" s="22">
        <v>30</v>
      </c>
    </row>
    <row r="17" spans="1:20" ht="14.5" x14ac:dyDescent="0.35">
      <c r="A17" s="80">
        <f>RESUMO!A8</f>
        <v>0</v>
      </c>
      <c r="B17" s="57"/>
      <c r="C17" s="56">
        <f>VLOOKUP(A17,RESUMO!$A$4:$K$9,2,0)</f>
        <v>0</v>
      </c>
      <c r="D17" s="56">
        <f>VLOOKUP(A17,RESUMO!$A$4:$K$9,4,0)</f>
        <v>0</v>
      </c>
      <c r="E17" s="56">
        <f>VLOOKUP(A17,RESUMO!$A$4:$K$9,7,0)</f>
        <v>0</v>
      </c>
      <c r="F17" s="33">
        <f t="shared" si="0"/>
        <v>0</v>
      </c>
      <c r="G17" s="48" t="str">
        <f t="shared" si="1"/>
        <v/>
      </c>
      <c r="S17" s="22">
        <v>7</v>
      </c>
      <c r="T17" s="22">
        <v>31</v>
      </c>
    </row>
    <row r="18" spans="1:20" ht="14.5" x14ac:dyDescent="0.35">
      <c r="A18" s="80">
        <f>RESUMO!A9</f>
        <v>0</v>
      </c>
      <c r="B18" s="57"/>
      <c r="C18" s="56">
        <f>VLOOKUP(A18,RESUMO!$A$4:$K$9,2,0)</f>
        <v>0</v>
      </c>
      <c r="D18" s="56">
        <f>VLOOKUP(A18,RESUMO!$A$4:$K$9,4,0)</f>
        <v>0</v>
      </c>
      <c r="E18" s="56">
        <f>VLOOKUP(A18,RESUMO!$A$4:$K$9,7,0)</f>
        <v>0</v>
      </c>
      <c r="F18" s="33">
        <f t="shared" si="0"/>
        <v>0</v>
      </c>
      <c r="G18" s="48" t="str">
        <f t="shared" si="1"/>
        <v/>
      </c>
      <c r="S18" s="22">
        <v>8</v>
      </c>
      <c r="T18" s="22">
        <v>31</v>
      </c>
    </row>
    <row r="19" spans="1:20" ht="19" customHeight="1" x14ac:dyDescent="0.35">
      <c r="A19" s="41" t="s">
        <v>24</v>
      </c>
      <c r="B19" s="34">
        <f>SUM(B13:B18)</f>
        <v>24</v>
      </c>
      <c r="C19" s="34">
        <f>SUM(C13:C18)</f>
        <v>0</v>
      </c>
      <c r="D19" s="34">
        <f t="shared" ref="D19:F19" si="2">SUM(D13:D18)</f>
        <v>0</v>
      </c>
      <c r="E19" s="34">
        <f t="shared" si="2"/>
        <v>0</v>
      </c>
      <c r="F19" s="34">
        <f t="shared" si="2"/>
        <v>0</v>
      </c>
      <c r="G19" s="49">
        <f t="shared" si="1"/>
        <v>0</v>
      </c>
      <c r="S19" s="22">
        <v>9</v>
      </c>
      <c r="T19" s="22">
        <v>30</v>
      </c>
    </row>
    <row r="20" spans="1:20" ht="14.5" x14ac:dyDescent="0.35">
      <c r="A20" s="45"/>
      <c r="G20" s="46"/>
      <c r="S20" s="22">
        <v>10</v>
      </c>
      <c r="T20" s="22">
        <v>31</v>
      </c>
    </row>
    <row r="21" spans="1:20" ht="14.5" x14ac:dyDescent="0.35">
      <c r="A21" s="113" t="s">
        <v>43</v>
      </c>
      <c r="B21" s="114" t="s">
        <v>39</v>
      </c>
      <c r="C21" s="115" t="s">
        <v>49</v>
      </c>
      <c r="D21" s="116"/>
      <c r="E21" s="116"/>
      <c r="F21" s="116"/>
      <c r="G21" s="117"/>
      <c r="S21" s="22">
        <v>11</v>
      </c>
      <c r="T21" s="22">
        <v>30</v>
      </c>
    </row>
    <row r="22" spans="1:20" ht="14.5" x14ac:dyDescent="0.35">
      <c r="A22" s="113"/>
      <c r="B22" s="114"/>
      <c r="C22" s="36" t="s">
        <v>41</v>
      </c>
      <c r="D22" s="36" t="s">
        <v>27</v>
      </c>
      <c r="E22" s="36" t="s">
        <v>53</v>
      </c>
      <c r="F22" s="36" t="s">
        <v>24</v>
      </c>
      <c r="G22" s="47" t="s">
        <v>42</v>
      </c>
      <c r="S22" s="22">
        <v>12</v>
      </c>
      <c r="T22" s="22">
        <v>31</v>
      </c>
    </row>
    <row r="23" spans="1:20" ht="14.5" x14ac:dyDescent="0.35">
      <c r="A23" s="80">
        <f>A13</f>
        <v>0</v>
      </c>
      <c r="B23" s="55">
        <f>B13*5</f>
        <v>30</v>
      </c>
      <c r="C23" s="25">
        <f>VLOOKUP(A23,RESUMO!$A$4:$K$9,3,0)</f>
        <v>0</v>
      </c>
      <c r="D23" s="56">
        <f>VLOOKUP(A23,RESUMO!$A$4:$K$9,5,0)</f>
        <v>0</v>
      </c>
      <c r="E23" s="56">
        <f>VLOOKUP(A23,RESUMO!$A$4:$K$9,11,0)</f>
        <v>0</v>
      </c>
      <c r="F23" s="33">
        <f t="shared" ref="F23:F28" si="3">SUM(C23:E23)</f>
        <v>0</v>
      </c>
      <c r="G23" s="48">
        <f t="shared" ref="G23:G28" si="4">IFERROR(F23/B23,"")</f>
        <v>0</v>
      </c>
    </row>
    <row r="24" spans="1:20" ht="14.5" x14ac:dyDescent="0.35">
      <c r="A24" s="80">
        <f t="shared" ref="A24:A28" si="5">A14</f>
        <v>0</v>
      </c>
      <c r="B24" s="55">
        <f t="shared" ref="B24:B28" si="6">B14*5</f>
        <v>30</v>
      </c>
      <c r="C24" s="25">
        <f>VLOOKUP(A24,RESUMO!$A$4:$K$9,3,0)</f>
        <v>0</v>
      </c>
      <c r="D24" s="56">
        <f>VLOOKUP(A24,RESUMO!$A$4:$K$9,5,0)</f>
        <v>0</v>
      </c>
      <c r="E24" s="56">
        <f>VLOOKUP(A24,RESUMO!$A$4:$K$9,11,0)</f>
        <v>0</v>
      </c>
      <c r="F24" s="33">
        <f t="shared" si="3"/>
        <v>0</v>
      </c>
      <c r="G24" s="48">
        <f t="shared" si="4"/>
        <v>0</v>
      </c>
    </row>
    <row r="25" spans="1:20" ht="14.5" x14ac:dyDescent="0.35">
      <c r="A25" s="80">
        <f t="shared" si="5"/>
        <v>0</v>
      </c>
      <c r="B25" s="55">
        <f t="shared" si="6"/>
        <v>30</v>
      </c>
      <c r="C25" s="25">
        <f>VLOOKUP(A25,RESUMO!$A$4:$K$9,3,0)</f>
        <v>0</v>
      </c>
      <c r="D25" s="56">
        <f>VLOOKUP(A25,RESUMO!$A$4:$K$9,5,0)</f>
        <v>0</v>
      </c>
      <c r="E25" s="56">
        <f>VLOOKUP(A25,RESUMO!$A$4:$K$9,11,0)</f>
        <v>0</v>
      </c>
      <c r="F25" s="33">
        <f t="shared" si="3"/>
        <v>0</v>
      </c>
      <c r="G25" s="48">
        <f t="shared" si="4"/>
        <v>0</v>
      </c>
    </row>
    <row r="26" spans="1:20" ht="14.5" x14ac:dyDescent="0.35">
      <c r="A26" s="80">
        <f t="shared" si="5"/>
        <v>0</v>
      </c>
      <c r="B26" s="55">
        <f t="shared" si="6"/>
        <v>30</v>
      </c>
      <c r="C26" s="25">
        <f>VLOOKUP(A26,RESUMO!$A$4:$K$9,3,0)</f>
        <v>0</v>
      </c>
      <c r="D26" s="56">
        <f>VLOOKUP(A26,RESUMO!$A$4:$K$9,5,0)</f>
        <v>0</v>
      </c>
      <c r="E26" s="56">
        <f>VLOOKUP(A26,RESUMO!$A$4:$K$9,11,0)</f>
        <v>0</v>
      </c>
      <c r="F26" s="33">
        <f t="shared" si="3"/>
        <v>0</v>
      </c>
      <c r="G26" s="48">
        <f t="shared" si="4"/>
        <v>0</v>
      </c>
    </row>
    <row r="27" spans="1:20" ht="14.5" x14ac:dyDescent="0.35">
      <c r="A27" s="80">
        <f t="shared" si="5"/>
        <v>0</v>
      </c>
      <c r="B27" s="55">
        <f t="shared" si="6"/>
        <v>0</v>
      </c>
      <c r="C27" s="25">
        <f>VLOOKUP(A27,RESUMO!$A$4:$K$9,3,0)</f>
        <v>0</v>
      </c>
      <c r="D27" s="56">
        <f>VLOOKUP(A27,RESUMO!$A$4:$K$9,5,0)</f>
        <v>0</v>
      </c>
      <c r="E27" s="56">
        <f>VLOOKUP(A27,RESUMO!$A$4:$K$9,11,0)</f>
        <v>0</v>
      </c>
      <c r="F27" s="33">
        <f t="shared" si="3"/>
        <v>0</v>
      </c>
      <c r="G27" s="48" t="str">
        <f t="shared" si="4"/>
        <v/>
      </c>
    </row>
    <row r="28" spans="1:20" ht="14.5" x14ac:dyDescent="0.35">
      <c r="A28" s="80">
        <f t="shared" si="5"/>
        <v>0</v>
      </c>
      <c r="B28" s="55">
        <f t="shared" si="6"/>
        <v>0</v>
      </c>
      <c r="C28" s="25">
        <f>VLOOKUP(A28,RESUMO!$A$4:$K$9,3,0)</f>
        <v>0</v>
      </c>
      <c r="D28" s="56">
        <f>VLOOKUP(A28,RESUMO!$A$4:$K$9,5,0)</f>
        <v>0</v>
      </c>
      <c r="E28" s="56">
        <f>VLOOKUP(A28,RESUMO!$A$4:$K$9,11,0)</f>
        <v>0</v>
      </c>
      <c r="F28" s="33">
        <f t="shared" si="3"/>
        <v>0</v>
      </c>
      <c r="G28" s="48" t="str">
        <f t="shared" si="4"/>
        <v/>
      </c>
    </row>
    <row r="29" spans="1:20" ht="14.5" x14ac:dyDescent="0.35">
      <c r="A29" s="41" t="s">
        <v>24</v>
      </c>
      <c r="B29" s="34">
        <f>SUM(B23:B28)</f>
        <v>120</v>
      </c>
      <c r="C29" s="34">
        <f t="shared" ref="C29:G29" si="7">SUM(C23:C28)</f>
        <v>0</v>
      </c>
      <c r="D29" s="34">
        <f t="shared" si="7"/>
        <v>0</v>
      </c>
      <c r="E29" s="34">
        <f t="shared" si="7"/>
        <v>0</v>
      </c>
      <c r="F29" s="34">
        <f>SUM(F23:F28)</f>
        <v>0</v>
      </c>
      <c r="G29" s="49">
        <f t="shared" si="7"/>
        <v>0</v>
      </c>
    </row>
    <row r="30" spans="1:20" ht="14.5" x14ac:dyDescent="0.35">
      <c r="A30" s="45"/>
      <c r="G30" s="46"/>
    </row>
    <row r="31" spans="1:20" ht="30" customHeight="1" thickBot="1" x14ac:dyDescent="0.4">
      <c r="A31" s="50" t="s">
        <v>52</v>
      </c>
      <c r="B31" s="118">
        <f ca="1">VLOOKUP(B3,RESUMO!A45:K45,11,0)</f>
        <v>0</v>
      </c>
      <c r="C31" s="118"/>
      <c r="D31" s="118"/>
      <c r="E31" s="118"/>
      <c r="F31" s="118"/>
      <c r="G31" s="119"/>
    </row>
  </sheetData>
  <sheetProtection sheet="1" objects="1" scenarios="1"/>
  <mergeCells count="12">
    <mergeCell ref="A21:A22"/>
    <mergeCell ref="B21:B22"/>
    <mergeCell ref="C21:G21"/>
    <mergeCell ref="B31:G31"/>
    <mergeCell ref="B1:G1"/>
    <mergeCell ref="B3:G3"/>
    <mergeCell ref="B5:G5"/>
    <mergeCell ref="B7:D7"/>
    <mergeCell ref="B9:G9"/>
    <mergeCell ref="A11:A12"/>
    <mergeCell ref="B11:B12"/>
    <mergeCell ref="C11:G11"/>
  </mergeCells>
  <conditionalFormatting sqref="B9:G9">
    <cfRule type="dataBar" priority="3">
      <dataBar showValue="0">
        <cfvo type="num" val="0"/>
        <cfvo type="num" val="$B$5"/>
        <color theme="6" tint="0.39997558519241921"/>
      </dataBar>
      <extLst>
        <ext xmlns:x14="http://schemas.microsoft.com/office/spreadsheetml/2009/9/main" uri="{B025F937-C7B1-47D3-B67F-A62EFF666E3E}">
          <x14:id>{CB549911-C714-4408-92CB-962E4C19102B}</x14:id>
        </ext>
      </extLst>
    </cfRule>
  </conditionalFormatting>
  <conditionalFormatting sqref="B31:G31">
    <cfRule type="cellIs" dxfId="3" priority="6" operator="greaterThanOrEqual">
      <formula>3</formula>
    </cfRule>
    <cfRule type="cellIs" dxfId="2" priority="7" operator="lessThan">
      <formula>3</formula>
    </cfRule>
  </conditionalFormatting>
  <conditionalFormatting sqref="F13:F18">
    <cfRule type="dataBar" priority="2">
      <dataBar>
        <cfvo type="num" val="0"/>
        <cfvo type="num" val="$B$13"/>
        <color theme="4" tint="0.79998168889431442"/>
      </dataBar>
      <extLst>
        <ext xmlns:x14="http://schemas.microsoft.com/office/spreadsheetml/2009/9/main" uri="{B025F937-C7B1-47D3-B67F-A62EFF666E3E}">
          <x14:id>{2CFEF333-BE0E-49A7-B801-429F0EBDA3C5}</x14:id>
        </ext>
      </extLst>
    </cfRule>
  </conditionalFormatting>
  <conditionalFormatting sqref="F23:F28">
    <cfRule type="dataBar" priority="1">
      <dataBar>
        <cfvo type="num" val="0"/>
        <cfvo type="num" val="$B$23"/>
        <color theme="4" tint="0.79998168889431442"/>
      </dataBar>
      <extLst>
        <ext xmlns:x14="http://schemas.microsoft.com/office/spreadsheetml/2009/9/main" uri="{B025F937-C7B1-47D3-B67F-A62EFF666E3E}">
          <x14:id>{296F1570-094D-44F5-BB29-51F1CD60E14D}</x14:id>
        </ext>
      </extLst>
    </cfRule>
  </conditionalFormatting>
  <conditionalFormatting sqref="G13:G18 G23:G28">
    <cfRule type="cellIs" dxfId="1" priority="10" operator="lessThan">
      <formula>$E$7</formula>
    </cfRule>
    <cfRule type="cellIs" dxfId="0" priority="11" operator="greaterThan">
      <formula>$E$7</formula>
    </cfRule>
  </conditionalFormatting>
  <printOptions horizontalCentered="1"/>
  <pageMargins left="0.51181102362204722" right="0.51181102362204722" top="0.78740157480314965" bottom="0.78740157480314965" header="0.31496062992125984" footer="0.31496062992125984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B549911-C714-4408-92CB-962E4C19102B}">
            <x14:dataBar minLength="0" maxLength="100" gradient="0">
              <x14:cfvo type="num">
                <xm:f>0</xm:f>
              </x14:cfvo>
              <x14:cfvo type="num">
                <xm:f>$B$5</xm:f>
              </x14:cfvo>
              <x14:negativeFillColor rgb="FFFF0000"/>
              <x14:axisColor rgb="FF000000"/>
            </x14:dataBar>
          </x14:cfRule>
          <xm:sqref>B9:G9</xm:sqref>
        </x14:conditionalFormatting>
        <x14:conditionalFormatting xmlns:xm="http://schemas.microsoft.com/office/excel/2006/main">
          <x14:cfRule type="dataBar" id="{2CFEF333-BE0E-49A7-B801-429F0EBDA3C5}">
            <x14:dataBar minLength="0" maxLength="100" gradient="0">
              <x14:cfvo type="num">
                <xm:f>0</xm:f>
              </x14:cfvo>
              <x14:cfvo type="num">
                <xm:f>$B$13</xm:f>
              </x14:cfvo>
              <x14:negativeFillColor rgb="FFFF0000"/>
              <x14:axisColor rgb="FF000000"/>
            </x14:dataBar>
          </x14:cfRule>
          <xm:sqref>F13:F18</xm:sqref>
        </x14:conditionalFormatting>
        <x14:conditionalFormatting xmlns:xm="http://schemas.microsoft.com/office/excel/2006/main">
          <x14:cfRule type="dataBar" id="{296F1570-094D-44F5-BB29-51F1CD60E14D}">
            <x14:dataBar minLength="0" maxLength="100" gradient="0">
              <x14:cfvo type="num">
                <xm:f>0</xm:f>
              </x14:cfvo>
              <x14:cfvo type="num">
                <xm:f>$B$23</xm:f>
              </x14:cfvo>
              <x14:negativeFillColor rgb="FFFF0000"/>
              <x14:axisColor rgb="FF000000"/>
            </x14:dataBar>
          </x14:cfRule>
          <xm:sqref>F23:F28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IMPRIMIR</vt:lpstr>
      <vt:lpstr>RESUMO</vt:lpstr>
      <vt:lpstr>VENDEDOR1</vt:lpstr>
      <vt:lpstr>VENDEDOR2</vt:lpstr>
      <vt:lpstr>VENDEDOR3</vt:lpstr>
      <vt:lpstr>VENDEDOR4</vt:lpstr>
      <vt:lpstr>VENDEDOR5</vt:lpstr>
      <vt:lpstr>VENDEDOR6</vt:lpstr>
      <vt:lpstr>GESTÃO A VISTA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Santos</dc:creator>
  <cp:lastModifiedBy>Daniel Santos</cp:lastModifiedBy>
  <cp:lastPrinted>2025-07-30T15:25:29Z</cp:lastPrinted>
  <dcterms:created xsi:type="dcterms:W3CDTF">2024-03-20T21:37:38Z</dcterms:created>
  <dcterms:modified xsi:type="dcterms:W3CDTF">2025-08-17T21:54:01Z</dcterms:modified>
</cp:coreProperties>
</file>